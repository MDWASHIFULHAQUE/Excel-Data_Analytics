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8_{15EED848-FEF3-47D7-8CC3-836047D2DA10}" xr6:coauthVersionLast="47" xr6:coauthVersionMax="47" xr10:uidLastSave="{00000000-0000-0000-0000-000000000000}"/>
  <bookViews>
    <workbookView xWindow="-120" yWindow="-120" windowWidth="29040" windowHeight="15720" activeTab="1" xr2:uid="{88034EE0-29C6-4B5B-BEFA-C53E26A48001}"/>
  </bookViews>
  <sheets>
    <sheet name="Data_table_one_input" sheetId="1" r:id="rId1"/>
    <sheet name="Data_table_two_input (2)" sheetId="3" r:id="rId2"/>
  </sheets>
  <definedNames>
    <definedName name="base" localSheetId="1">'Data_table_two_input (2)'!$C$4</definedName>
    <definedName name="base">Data_table_one_input!$C$4</definedName>
    <definedName name="bonus" localSheetId="1">'Data_table_two_input (2)'!$C$5</definedName>
    <definedName name="bonus">Data_table_one_input!$C$5</definedName>
    <definedName name="raise" localSheetId="1">'Data_table_two_input (2)'!$C$6</definedName>
    <definedName name="raise">Data_table_one_input!$C$6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6" i="3"/>
  <c r="C15" i="3"/>
  <c r="C14" i="3"/>
  <c r="C13" i="3"/>
  <c r="C13" i="1"/>
  <c r="G6" i="1" s="1"/>
  <c r="C17" i="1"/>
  <c r="K6" i="1" s="1"/>
  <c r="C16" i="1"/>
  <c r="J6" i="1" s="1"/>
  <c r="C15" i="1"/>
  <c r="I6" i="1" s="1"/>
  <c r="C14" i="1"/>
  <c r="H6" i="1" s="1"/>
  <c r="C18" i="3" l="1"/>
  <c r="F5" i="3" s="1"/>
  <c r="C18" i="1"/>
  <c r="L6" i="1" s="1"/>
</calcChain>
</file>

<file path=xl/sharedStrings.xml><?xml version="1.0" encoding="utf-8"?>
<sst xmlns="http://schemas.openxmlformats.org/spreadsheetml/2006/main" count="25" uniqueCount="14">
  <si>
    <t>Input Cells</t>
  </si>
  <si>
    <t>Base Salary</t>
  </si>
  <si>
    <t>Bonus</t>
  </si>
  <si>
    <t>Annual Raise</t>
  </si>
  <si>
    <t>Result Cells</t>
  </si>
  <si>
    <t>Year</t>
  </si>
  <si>
    <t>Amount</t>
  </si>
  <si>
    <t>Total</t>
  </si>
  <si>
    <t>Annual raise</t>
  </si>
  <si>
    <t>Year 0</t>
  </si>
  <si>
    <t>Year 1</t>
  </si>
  <si>
    <t>Year 2</t>
  </si>
  <si>
    <t>Year 3</t>
  </si>
  <si>
    <t>Year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</si>
</sst>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&quot;$&quot;* #,##0_);_(&quot;$&quot;* \(#,##0\);_(&quot;$&quot;* &quot;-&quot;??_);_(@_)"/>
    <numFmt numFmtId="165" formatCode="0.0%"/>
    <numFmt numFmtId="169" formatCode="_-[$$-409]* #,##0_ ;_-[$$-409]* \-#,##0\ ;_-[$$-409]* &quot;-&quot;??_ ;_-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Black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38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164" fontId="2" fillId="2" borderId="5" xfId="3" applyNumberFormat="1" applyBorder="1"/>
    <xf numFmtId="9" fontId="2" fillId="2" borderId="5" xfId="3" applyNumberFormat="1" applyBorder="1"/>
    <xf numFmtId="0" fontId="3" fillId="0" borderId="6" xfId="0" applyFont="1" applyBorder="1"/>
    <xf numFmtId="165" fontId="2" fillId="2" borderId="7" xfId="3" applyNumberFormat="1" applyBorder="1"/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64" fontId="0" fillId="0" borderId="8" xfId="1" applyNumberFormat="1" applyFont="1" applyBorder="1"/>
    <xf numFmtId="0" fontId="3" fillId="0" borderId="6" xfId="0" applyFont="1" applyBorder="1" applyAlignment="1">
      <alignment horizontal="left"/>
    </xf>
    <xf numFmtId="164" fontId="3" fillId="0" borderId="9" xfId="1" applyNumberFormat="1" applyFont="1" applyBorder="1"/>
    <xf numFmtId="164" fontId="0" fillId="0" borderId="0" xfId="1" applyNumberFormat="1" applyFont="1" applyBorder="1"/>
    <xf numFmtId="164" fontId="0" fillId="0" borderId="10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0" fontId="0" fillId="0" borderId="14" xfId="0" applyBorder="1"/>
    <xf numFmtId="165" fontId="3" fillId="0" borderId="15" xfId="0" applyNumberFormat="1" applyFont="1" applyBorder="1"/>
    <xf numFmtId="165" fontId="3" fillId="0" borderId="18" xfId="0" applyNumberFormat="1" applyFont="1" applyBorder="1"/>
    <xf numFmtId="165" fontId="3" fillId="0" borderId="19" xfId="0" applyNumberFormat="1" applyFont="1" applyBorder="1"/>
    <xf numFmtId="165" fontId="3" fillId="0" borderId="11" xfId="0" applyNumberFormat="1" applyFont="1" applyBorder="1"/>
    <xf numFmtId="164" fontId="5" fillId="0" borderId="11" xfId="0" applyNumberFormat="1" applyFont="1" applyBorder="1" applyAlignment="1">
      <alignment vertical="center"/>
    </xf>
    <xf numFmtId="9" fontId="7" fillId="0" borderId="16" xfId="2" applyFont="1" applyBorder="1"/>
    <xf numFmtId="9" fontId="7" fillId="0" borderId="17" xfId="2" applyFont="1" applyBorder="1"/>
    <xf numFmtId="9" fontId="7" fillId="0" borderId="20" xfId="2" applyFont="1" applyBorder="1"/>
    <xf numFmtId="0" fontId="0" fillId="0" borderId="11" xfId="0" applyBorder="1"/>
    <xf numFmtId="164" fontId="0" fillId="0" borderId="20" xfId="1" applyNumberFormat="1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5" fontId="3" fillId="0" borderId="21" xfId="0" applyNumberFormat="1" applyFont="1" applyBorder="1"/>
    <xf numFmtId="169" fontId="0" fillId="0" borderId="21" xfId="0" applyNumberFormat="1" applyBorder="1"/>
    <xf numFmtId="169" fontId="0" fillId="0" borderId="10" xfId="0" applyNumberFormat="1" applyBorder="1"/>
    <xf numFmtId="169" fontId="0" fillId="0" borderId="13" xfId="0" applyNumberFormat="1" applyBorder="1"/>
    <xf numFmtId="169" fontId="0" fillId="0" borderId="22" xfId="0" applyNumberFormat="1" applyBorder="1"/>
    <xf numFmtId="169" fontId="0" fillId="0" borderId="23" xfId="0" applyNumberFormat="1" applyBorder="1"/>
    <xf numFmtId="0" fontId="0" fillId="0" borderId="10" xfId="0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A9F0-E9F1-48BC-AC49-1F2AD19D72E2}">
  <dimension ref="B2:L20"/>
  <sheetViews>
    <sheetView zoomScale="99" workbookViewId="0">
      <selection activeCell="N20" sqref="N20"/>
    </sheetView>
  </sheetViews>
  <sheetFormatPr defaultRowHeight="15" x14ac:dyDescent="0.25"/>
  <cols>
    <col min="2" max="2" width="12.5703125" bestFit="1" customWidth="1"/>
    <col min="3" max="3" width="10.5703125" bestFit="1" customWidth="1"/>
    <col min="6" max="6" width="13.140625" customWidth="1"/>
    <col min="7" max="12" width="13" bestFit="1" customWidth="1"/>
  </cols>
  <sheetData>
    <row r="2" spans="2:12" ht="15.75" thickBot="1" x14ac:dyDescent="0.3"/>
    <row r="3" spans="2:12" x14ac:dyDescent="0.25">
      <c r="B3" s="1" t="s">
        <v>0</v>
      </c>
      <c r="C3" s="2"/>
    </row>
    <row r="4" spans="2:12" x14ac:dyDescent="0.25">
      <c r="B4" s="3" t="s">
        <v>1</v>
      </c>
      <c r="C4" s="4">
        <v>100000</v>
      </c>
    </row>
    <row r="5" spans="2:12" x14ac:dyDescent="0.25">
      <c r="B5" s="3" t="s">
        <v>2</v>
      </c>
      <c r="C5" s="5">
        <v>0.1</v>
      </c>
      <c r="F5" s="23" t="s">
        <v>8</v>
      </c>
      <c r="G5" s="26" t="s">
        <v>9</v>
      </c>
      <c r="H5" s="24" t="s">
        <v>10</v>
      </c>
      <c r="I5" s="24" t="s">
        <v>11</v>
      </c>
      <c r="J5" s="24" t="s">
        <v>12</v>
      </c>
      <c r="K5" s="24" t="s">
        <v>13</v>
      </c>
      <c r="L5" s="25" t="s">
        <v>7</v>
      </c>
    </row>
    <row r="6" spans="2:12" ht="15.75" thickBot="1" x14ac:dyDescent="0.3">
      <c r="B6" s="6" t="s">
        <v>3</v>
      </c>
      <c r="C6" s="7">
        <v>1.4999999999999999E-2</v>
      </c>
      <c r="F6" s="27"/>
      <c r="G6" s="28">
        <f>C13</f>
        <v>110000.00000000001</v>
      </c>
      <c r="H6" s="28">
        <f>C14</f>
        <v>111650</v>
      </c>
      <c r="I6" s="29">
        <f>C15</f>
        <v>113324.74999999997</v>
      </c>
      <c r="J6" s="29">
        <f>C16</f>
        <v>115024.62124999997</v>
      </c>
      <c r="K6" s="29">
        <f>C17</f>
        <v>116749.99056874996</v>
      </c>
      <c r="L6" s="30">
        <f>C18</f>
        <v>566749.36181874992</v>
      </c>
    </row>
    <row r="7" spans="2:12" x14ac:dyDescent="0.25">
      <c r="F7" s="19">
        <v>0</v>
      </c>
      <c r="G7" s="14">
        <f t="dataTable" ref="G7:L15" dt2D="0" dtr="0" r1="C6"/>
        <v>110000.00000000001</v>
      </c>
      <c r="H7" s="14">
        <v>110000.00000000001</v>
      </c>
      <c r="I7" s="14">
        <v>110000.00000000001</v>
      </c>
      <c r="J7" s="14">
        <v>110000.00000000001</v>
      </c>
      <c r="K7" s="14">
        <v>110000.00000000001</v>
      </c>
      <c r="L7" s="16">
        <v>550000.00000000012</v>
      </c>
    </row>
    <row r="8" spans="2:12" x14ac:dyDescent="0.25">
      <c r="F8" s="21">
        <v>5.0000000000000001E-3</v>
      </c>
      <c r="G8" s="14">
        <v>110000.00000000001</v>
      </c>
      <c r="H8" s="14">
        <v>110550</v>
      </c>
      <c r="I8" s="14">
        <v>111102.74999999997</v>
      </c>
      <c r="J8" s="14">
        <v>111658.26374999997</v>
      </c>
      <c r="K8" s="14">
        <v>112216.55506874995</v>
      </c>
      <c r="L8" s="16">
        <v>555527.56881874998</v>
      </c>
    </row>
    <row r="9" spans="2:12" x14ac:dyDescent="0.25">
      <c r="F9" s="22">
        <v>0.01</v>
      </c>
      <c r="G9" s="14">
        <v>110000.00000000001</v>
      </c>
      <c r="H9" s="14">
        <v>111100.00000000001</v>
      </c>
      <c r="I9" s="14">
        <v>112211.00000000001</v>
      </c>
      <c r="J9" s="14">
        <v>113333.11</v>
      </c>
      <c r="K9" s="14">
        <v>114466.44110000001</v>
      </c>
      <c r="L9" s="16">
        <v>561110.55110000004</v>
      </c>
    </row>
    <row r="10" spans="2:12" ht="15.75" thickBot="1" x14ac:dyDescent="0.3">
      <c r="F10" s="19">
        <v>1.4999999999999999E-2</v>
      </c>
      <c r="G10" s="14">
        <v>110000.00000000001</v>
      </c>
      <c r="H10" s="14">
        <v>111650</v>
      </c>
      <c r="I10" s="14">
        <v>113324.74999999997</v>
      </c>
      <c r="J10" s="14">
        <v>115024.62124999997</v>
      </c>
      <c r="K10" s="14">
        <v>116749.99056874996</v>
      </c>
      <c r="L10" s="16">
        <v>566749.36181874992</v>
      </c>
    </row>
    <row r="11" spans="2:12" x14ac:dyDescent="0.25">
      <c r="B11" s="1" t="s">
        <v>4</v>
      </c>
      <c r="C11" s="2"/>
      <c r="F11" s="22">
        <v>0.02</v>
      </c>
      <c r="G11" s="14">
        <v>110000.00000000001</v>
      </c>
      <c r="H11" s="14">
        <v>112200.00000000001</v>
      </c>
      <c r="I11" s="14">
        <v>114444.00000000001</v>
      </c>
      <c r="J11" s="14">
        <v>116732.87999999999</v>
      </c>
      <c r="K11" s="14">
        <v>119067.53760000001</v>
      </c>
      <c r="L11" s="16">
        <v>572444.41760000004</v>
      </c>
    </row>
    <row r="12" spans="2:12" x14ac:dyDescent="0.25">
      <c r="B12" s="8" t="s">
        <v>5</v>
      </c>
      <c r="C12" s="9" t="s">
        <v>6</v>
      </c>
      <c r="F12" s="20">
        <v>2.5000000000000001E-2</v>
      </c>
      <c r="G12" s="14">
        <v>110000.00000000001</v>
      </c>
      <c r="H12" s="14">
        <v>112750</v>
      </c>
      <c r="I12" s="14">
        <v>115568.75</v>
      </c>
      <c r="J12" s="14">
        <v>118457.96875</v>
      </c>
      <c r="K12" s="14">
        <v>121419.41796874997</v>
      </c>
      <c r="L12" s="16">
        <v>578196.13671875</v>
      </c>
    </row>
    <row r="13" spans="2:12" x14ac:dyDescent="0.25">
      <c r="B13" s="10">
        <v>0</v>
      </c>
      <c r="C13" s="11">
        <f>(base*(1+raise)^B13)*(1+bonus)</f>
        <v>110000.00000000001</v>
      </c>
      <c r="F13" s="19">
        <v>0.03</v>
      </c>
      <c r="G13" s="14">
        <v>110000.00000000001</v>
      </c>
      <c r="H13" s="14">
        <v>113300.00000000001</v>
      </c>
      <c r="I13" s="14">
        <v>116699.00000000001</v>
      </c>
      <c r="J13" s="14">
        <v>120199.97</v>
      </c>
      <c r="K13" s="14">
        <v>123805.9691</v>
      </c>
      <c r="L13" s="16">
        <v>584004.93910000008</v>
      </c>
    </row>
    <row r="14" spans="2:12" x14ac:dyDescent="0.25">
      <c r="B14" s="10">
        <v>1</v>
      </c>
      <c r="C14" s="11">
        <f>(base*(1+raise)^B14)*(1+bonus)</f>
        <v>111650</v>
      </c>
      <c r="F14" s="31">
        <v>3.5000000000000003E-2</v>
      </c>
      <c r="G14" s="14">
        <v>110000.00000000001</v>
      </c>
      <c r="H14" s="14">
        <v>113850</v>
      </c>
      <c r="I14" s="14">
        <v>117834.75</v>
      </c>
      <c r="J14" s="14">
        <v>121958.96624999998</v>
      </c>
      <c r="K14" s="14">
        <v>126227.53006874998</v>
      </c>
      <c r="L14" s="16">
        <v>589871.24631874997</v>
      </c>
    </row>
    <row r="15" spans="2:12" x14ac:dyDescent="0.25">
      <c r="B15" s="10">
        <v>2</v>
      </c>
      <c r="C15" s="11">
        <f>(base*(1+raise)^B15)*(1+bonus)</f>
        <v>113324.74999999997</v>
      </c>
      <c r="F15" s="20">
        <v>0.04</v>
      </c>
      <c r="G15" s="32">
        <v>110000.00000000001</v>
      </c>
      <c r="H15" s="33">
        <v>114400.00000000001</v>
      </c>
      <c r="I15" s="33">
        <v>118976.00000000003</v>
      </c>
      <c r="J15" s="33">
        <v>123735.04000000002</v>
      </c>
      <c r="K15" s="33">
        <v>128684.44160000002</v>
      </c>
      <c r="L15" s="34">
        <v>595795.48160000006</v>
      </c>
    </row>
    <row r="16" spans="2:12" x14ac:dyDescent="0.25">
      <c r="B16" s="10">
        <v>3</v>
      </c>
      <c r="C16" s="11">
        <f>(base*(1+raise)^B16)*(1+bonus)</f>
        <v>115024.62124999997</v>
      </c>
    </row>
    <row r="17" spans="2:6" x14ac:dyDescent="0.25">
      <c r="B17" s="10">
        <v>4</v>
      </c>
      <c r="C17" s="11">
        <f>(base*(1+raise)^B17)*(1+bonus)</f>
        <v>116749.99056874996</v>
      </c>
    </row>
    <row r="18" spans="2:6" ht="15.75" thickBot="1" x14ac:dyDescent="0.3">
      <c r="B18" s="12" t="s">
        <v>7</v>
      </c>
      <c r="C18" s="13">
        <f>SUM(C13:C17)</f>
        <v>566749.36181874992</v>
      </c>
    </row>
    <row r="19" spans="2:6" ht="15.75" thickBot="1" x14ac:dyDescent="0.3"/>
    <row r="20" spans="2:6" ht="15.75" thickBot="1" x14ac:dyDescent="0.3">
      <c r="F20" s="18"/>
    </row>
  </sheetData>
  <mergeCells count="2">
    <mergeCell ref="B3:C3"/>
    <mergeCell ref="B11:C11"/>
  </mergeCells>
  <phoneticPr fontId="6" type="noConversion"/>
  <conditionalFormatting sqref="G6:K15">
    <cfRule type="colorScale" priority="2">
      <colorScale>
        <cfvo type="min"/>
        <cfvo type="max"/>
        <color rgb="FFFCFCFF"/>
        <color rgb="FFF8696B"/>
      </colorScale>
    </cfRule>
  </conditionalFormatting>
  <conditionalFormatting sqref="L6:L1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3BF3-61D0-4B18-B58E-C5B0BE4CC12C}">
  <dimension ref="B2:L18"/>
  <sheetViews>
    <sheetView tabSelected="1" zoomScale="99" workbookViewId="0">
      <selection activeCell="O10" sqref="O10"/>
    </sheetView>
  </sheetViews>
  <sheetFormatPr defaultRowHeight="15" x14ac:dyDescent="0.25"/>
  <cols>
    <col min="2" max="2" width="12.5703125" bestFit="1" customWidth="1"/>
    <col min="3" max="3" width="10.5703125" bestFit="1" customWidth="1"/>
    <col min="6" max="6" width="13.140625" customWidth="1"/>
    <col min="7" max="12" width="13" bestFit="1" customWidth="1"/>
  </cols>
  <sheetData>
    <row r="2" spans="2:12" ht="15.75" thickBot="1" x14ac:dyDescent="0.3"/>
    <row r="3" spans="2:12" x14ac:dyDescent="0.25">
      <c r="B3" s="1" t="s">
        <v>0</v>
      </c>
      <c r="C3" s="2"/>
    </row>
    <row r="4" spans="2:12" x14ac:dyDescent="0.25">
      <c r="B4" s="3" t="s">
        <v>1</v>
      </c>
      <c r="C4" s="4">
        <v>100000</v>
      </c>
      <c r="F4" t="s">
        <v>3</v>
      </c>
      <c r="G4" s="37" t="s">
        <v>2</v>
      </c>
      <c r="H4" s="37"/>
      <c r="I4" s="37"/>
      <c r="J4" s="37"/>
      <c r="K4" s="37"/>
      <c r="L4" s="37"/>
    </row>
    <row r="5" spans="2:12" x14ac:dyDescent="0.25">
      <c r="B5" s="3" t="s">
        <v>2</v>
      </c>
      <c r="C5" s="5">
        <v>0.1</v>
      </c>
      <c r="F5" s="23">
        <f>C18</f>
        <v>566749.36181874992</v>
      </c>
      <c r="G5" s="26">
        <v>0</v>
      </c>
      <c r="H5" s="24">
        <v>0.05</v>
      </c>
      <c r="I5" s="24">
        <v>0.1</v>
      </c>
      <c r="J5" s="24">
        <v>0.15</v>
      </c>
      <c r="K5" s="24">
        <v>0.2</v>
      </c>
      <c r="L5" s="25">
        <v>0.25</v>
      </c>
    </row>
    <row r="6" spans="2:12" ht="15.75" thickBot="1" x14ac:dyDescent="0.3">
      <c r="B6" s="6" t="s">
        <v>3</v>
      </c>
      <c r="C6" s="7">
        <v>1.4999999999999999E-2</v>
      </c>
      <c r="F6" s="19">
        <v>0</v>
      </c>
      <c r="G6" s="35">
        <f t="dataTable" ref="G6:L14" dt2D="1" dtr="1" r1="C5" r2="C6"/>
        <v>500000</v>
      </c>
      <c r="H6" s="35">
        <v>525000</v>
      </c>
      <c r="I6" s="35">
        <v>550000.00000000012</v>
      </c>
      <c r="J6" s="35">
        <v>574999.99999999988</v>
      </c>
      <c r="K6" s="35">
        <v>600000</v>
      </c>
      <c r="L6" s="36">
        <v>625000</v>
      </c>
    </row>
    <row r="7" spans="2:12" x14ac:dyDescent="0.25">
      <c r="F7" s="21">
        <v>5.0000000000000001E-3</v>
      </c>
      <c r="G7" s="14">
        <v>505025.06256249989</v>
      </c>
      <c r="H7" s="14">
        <v>530276.31569062488</v>
      </c>
      <c r="I7" s="14">
        <v>555527.56881874998</v>
      </c>
      <c r="J7" s="14">
        <v>580778.82194687473</v>
      </c>
      <c r="K7" s="14">
        <v>606030.07507499983</v>
      </c>
      <c r="L7" s="16">
        <v>631281.32820312493</v>
      </c>
    </row>
    <row r="8" spans="2:12" x14ac:dyDescent="0.25">
      <c r="F8" s="22">
        <v>0.01</v>
      </c>
      <c r="G8" s="14">
        <v>510100.50099999999</v>
      </c>
      <c r="H8" s="14">
        <v>535605.52604999999</v>
      </c>
      <c r="I8" s="14">
        <v>561110.55110000004</v>
      </c>
      <c r="J8" s="14">
        <v>586615.57614999986</v>
      </c>
      <c r="K8" s="14">
        <v>612120.60120000003</v>
      </c>
      <c r="L8" s="16">
        <v>637625.62624999997</v>
      </c>
    </row>
    <row r="9" spans="2:12" x14ac:dyDescent="0.25">
      <c r="F9" s="19">
        <v>1.4999999999999999E-2</v>
      </c>
      <c r="G9" s="14">
        <v>515226.6925624999</v>
      </c>
      <c r="H9" s="14">
        <v>540988.02719062497</v>
      </c>
      <c r="I9" s="14">
        <v>566749.36181874992</v>
      </c>
      <c r="J9" s="14">
        <v>592510.69644687476</v>
      </c>
      <c r="K9" s="14">
        <v>618272.03107499983</v>
      </c>
      <c r="L9" s="16">
        <v>644033.3657031249</v>
      </c>
    </row>
    <row r="10" spans="2:12" ht="15.75" thickBot="1" x14ac:dyDescent="0.3">
      <c r="F10" s="22">
        <v>0.02</v>
      </c>
      <c r="G10" s="14">
        <v>520404.016</v>
      </c>
      <c r="H10" s="14">
        <v>546424.21679999994</v>
      </c>
      <c r="I10" s="14">
        <v>572444.41760000004</v>
      </c>
      <c r="J10" s="14">
        <v>598464.61839999992</v>
      </c>
      <c r="K10" s="14">
        <v>624484.81919999991</v>
      </c>
      <c r="L10" s="16">
        <v>650505.02</v>
      </c>
    </row>
    <row r="11" spans="2:12" x14ac:dyDescent="0.25">
      <c r="B11" s="1" t="s">
        <v>4</v>
      </c>
      <c r="C11" s="2"/>
      <c r="F11" s="20">
        <v>2.5000000000000001E-2</v>
      </c>
      <c r="G11" s="14">
        <v>525632.8515625</v>
      </c>
      <c r="H11" s="14">
        <v>551914.494140625</v>
      </c>
      <c r="I11" s="14">
        <v>578196.13671875</v>
      </c>
      <c r="J11" s="14">
        <v>604477.77929687488</v>
      </c>
      <c r="K11" s="14">
        <v>630759.42187499988</v>
      </c>
      <c r="L11" s="16">
        <v>657041.064453125</v>
      </c>
    </row>
    <row r="12" spans="2:12" x14ac:dyDescent="0.25">
      <c r="B12" s="8" t="s">
        <v>5</v>
      </c>
      <c r="C12" s="9" t="s">
        <v>6</v>
      </c>
      <c r="F12" s="19">
        <v>0.03</v>
      </c>
      <c r="G12" s="14">
        <v>530913.58100000001</v>
      </c>
      <c r="H12" s="14">
        <v>557459.26005000004</v>
      </c>
      <c r="I12" s="14">
        <v>584004.93910000008</v>
      </c>
      <c r="J12" s="14">
        <v>610550.61814999988</v>
      </c>
      <c r="K12" s="14">
        <v>637096.29719999991</v>
      </c>
      <c r="L12" s="16">
        <v>663641.97625000007</v>
      </c>
    </row>
    <row r="13" spans="2:12" x14ac:dyDescent="0.25">
      <c r="B13" s="10">
        <v>0</v>
      </c>
      <c r="C13" s="11">
        <f>(base*(1+raise)^B13)*(1+bonus)</f>
        <v>110000.00000000001</v>
      </c>
      <c r="F13" s="22">
        <v>3.5000000000000003E-2</v>
      </c>
      <c r="G13" s="14">
        <v>536246.58756249992</v>
      </c>
      <c r="H13" s="14">
        <v>563058.91694062494</v>
      </c>
      <c r="I13" s="14">
        <v>589871.24631874997</v>
      </c>
      <c r="J13" s="14">
        <v>616683.57569687488</v>
      </c>
      <c r="K13" s="14">
        <v>643495.9050749999</v>
      </c>
      <c r="L13" s="16">
        <v>670308.23445312493</v>
      </c>
    </row>
    <row r="14" spans="2:12" x14ac:dyDescent="0.25">
      <c r="B14" s="10">
        <v>1</v>
      </c>
      <c r="C14" s="11">
        <f>(base*(1+raise)^B14)*(1+bonus)</f>
        <v>111650</v>
      </c>
      <c r="F14" s="20">
        <v>0.04</v>
      </c>
      <c r="G14" s="15">
        <v>541632.25600000005</v>
      </c>
      <c r="H14" s="15">
        <v>568713.86880000005</v>
      </c>
      <c r="I14" s="15">
        <v>595795.48160000006</v>
      </c>
      <c r="J14" s="15">
        <v>622877.09440000006</v>
      </c>
      <c r="K14" s="15">
        <v>649958.70720000006</v>
      </c>
      <c r="L14" s="17">
        <v>677040.32000000007</v>
      </c>
    </row>
    <row r="15" spans="2:12" x14ac:dyDescent="0.25">
      <c r="B15" s="10">
        <v>2</v>
      </c>
      <c r="C15" s="11">
        <f>(base*(1+raise)^B15)*(1+bonus)</f>
        <v>113324.74999999997</v>
      </c>
    </row>
    <row r="16" spans="2:12" x14ac:dyDescent="0.25">
      <c r="B16" s="10">
        <v>3</v>
      </c>
      <c r="C16" s="11">
        <f>(base*(1+raise)^B16)*(1+bonus)</f>
        <v>115024.62124999997</v>
      </c>
    </row>
    <row r="17" spans="2:3" x14ac:dyDescent="0.25">
      <c r="B17" s="10">
        <v>4</v>
      </c>
      <c r="C17" s="11">
        <f>(base*(1+raise)^B17)*(1+bonus)</f>
        <v>116749.99056874996</v>
      </c>
    </row>
    <row r="18" spans="2:3" ht="15.75" thickBot="1" x14ac:dyDescent="0.3">
      <c r="B18" s="12" t="s">
        <v>7</v>
      </c>
      <c r="C18" s="13">
        <f>SUM(C13:C17)</f>
        <v>566749.36181874992</v>
      </c>
    </row>
  </sheetData>
  <mergeCells count="3">
    <mergeCell ref="B3:C3"/>
    <mergeCell ref="B11:C11"/>
    <mergeCell ref="G4:L4"/>
  </mergeCells>
  <conditionalFormatting sqref="G6:L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Data_table_one_input</vt:lpstr>
      <vt:lpstr>Data_table_two_input (2)</vt:lpstr>
      <vt:lpstr>'Data_table_two_input (2)'!base</vt:lpstr>
      <vt:lpstr>base</vt:lpstr>
      <vt:lpstr>'Data_table_two_input (2)'!bonus</vt:lpstr>
      <vt:lpstr>bonus</vt:lpstr>
      <vt:lpstr>'Data_table_two_input (2)'!raise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2026-09-04T17:32:36Z</dcterms:created>
  <dcterms:modified xsi:type="dcterms:W3CDTF">2026-09-04T18:05:39Z</dcterms:modified>
</cp:coreProperties>
</file>