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8_{E2BD0671-177E-4907-9F66-1B24FA0AB2AD}" xr6:coauthVersionLast="47" xr6:coauthVersionMax="47" xr10:uidLastSave="{00000000-0000-0000-0000-000000000000}"/>
  <bookViews>
    <workbookView xWindow="-120" yWindow="-120" windowWidth="29040" windowHeight="15720" activeTab="5" xr2:uid="{77F100EF-863C-4E3E-9033-2397B0B7226D}"/>
  </bookViews>
  <sheets>
    <sheet name="Forecast" sheetId="2" r:id="rId1"/>
    <sheet name="Answer Report 1" sheetId="6" r:id="rId2"/>
    <sheet name="Sensitivity Report 1" sheetId="7" r:id="rId3"/>
    <sheet name="Limits Report 1" sheetId="8" r:id="rId4"/>
    <sheet name="If Analysis" sheetId="3" r:id="rId5"/>
    <sheet name="Scenario Summary " sheetId="5" r:id="rId6"/>
  </sheets>
  <definedNames>
    <definedName name="base">'If Analysis'!$C$7</definedName>
    <definedName name="bonus">'If Analysis'!$C$8</definedName>
    <definedName name="raise">'If Analysis'!$C$9</definedName>
    <definedName name="solver_adj" localSheetId="4" hidden="1">'If Analysis'!$C$8:$C$9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'If Analysis'!$C$8</definedName>
    <definedName name="solver_lhs2" localSheetId="4" hidden="1">'If Analysis'!$C$9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'If Analysis'!$C$20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1</definedName>
    <definedName name="solver_rhs1" localSheetId="4" hidden="1">0.2</definedName>
    <definedName name="solver_rhs2" localSheetId="4" hidden="1">0.05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ho" localSheetId="3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640000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C16" i="3"/>
  <c r="C15" i="3"/>
  <c r="C19" i="3"/>
  <c r="C18" i="3"/>
  <c r="C17" i="3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20" i="3" l="1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E384" i="2"/>
  <c r="D384" i="2"/>
  <c r="E385" i="2"/>
  <c r="D385" i="2"/>
  <c r="E386" i="2"/>
  <c r="D386" i="2"/>
  <c r="D387" i="2"/>
  <c r="E387" i="2"/>
  <c r="E388" i="2"/>
  <c r="D388" i="2"/>
  <c r="E389" i="2"/>
  <c r="D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E418" i="2"/>
  <c r="D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E436" i="2"/>
  <c r="D436" i="2"/>
  <c r="D437" i="2"/>
  <c r="E437" i="2"/>
  <c r="E438" i="2"/>
  <c r="D438" i="2"/>
  <c r="E439" i="2"/>
  <c r="D439" i="2"/>
  <c r="E440" i="2"/>
  <c r="D440" i="2"/>
  <c r="E441" i="2"/>
  <c r="D441" i="2"/>
  <c r="E442" i="2"/>
  <c r="D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</calcChain>
</file>

<file path=xl/sharedStrings.xml><?xml version="1.0" encoding="utf-8"?>
<sst xmlns="http://schemas.openxmlformats.org/spreadsheetml/2006/main" count="133" uniqueCount="83">
  <si>
    <t>Date</t>
  </si>
  <si>
    <t>Job Count</t>
  </si>
  <si>
    <t>Forecast(Job Count)</t>
  </si>
  <si>
    <t>Lower Confidence Bound(Job Count)</t>
  </si>
  <si>
    <t>Upper Confidence Bound(Job Count)</t>
  </si>
  <si>
    <t>Input Cells</t>
  </si>
  <si>
    <t>Base Salary</t>
  </si>
  <si>
    <t>Bonus</t>
  </si>
  <si>
    <t>Annual Raise</t>
  </si>
  <si>
    <t>Result Cells</t>
  </si>
  <si>
    <t>Year</t>
  </si>
  <si>
    <t>Amount</t>
  </si>
  <si>
    <t>Total</t>
  </si>
  <si>
    <t>Job</t>
  </si>
  <si>
    <t>Job1</t>
  </si>
  <si>
    <t>job2</t>
  </si>
  <si>
    <t>job3</t>
  </si>
  <si>
    <t>Max Likely</t>
  </si>
  <si>
    <t>base</t>
  </si>
  <si>
    <t>bonus</t>
  </si>
  <si>
    <t>raise</t>
  </si>
  <si>
    <t>$C$20</t>
  </si>
  <si>
    <t>Created by MD WASHIFUL HAQUE on 04-09-2026
Modified by MD WASHIFUL HAQUE on 04-09-2026</t>
  </si>
  <si>
    <t>Job2</t>
  </si>
  <si>
    <t>Job3</t>
  </si>
  <si>
    <t>Created by MD WASHIFUL HAQUE on 04-09-2026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</si>
  <si>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</si>
  <si>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</si>
  <si>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</si>
  <si>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</si>
  <si>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</si>
  <si>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</si>
  <si>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</si>
  <si>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year 0</t>
  </si>
  <si>
    <t>year 1</t>
  </si>
  <si>
    <t>year 2</t>
  </si>
  <si>
    <t>year 3</t>
  </si>
  <si>
    <t>year 4</t>
  </si>
  <si>
    <t>year 5</t>
  </si>
  <si>
    <t>Microsoft Excel 16.0 Answer Report</t>
  </si>
  <si>
    <t>Worksheet: [Analysis_Add_ins.xlsx]If Analysis</t>
  </si>
  <si>
    <t>Report Created: 04-09-2026 22:51:14</t>
  </si>
  <si>
    <t>Result: Solver found a solution.  All Constraints and optimality conditions are satisfied.</t>
  </si>
  <si>
    <t>Solver Engine</t>
  </si>
  <si>
    <t>Engine: GRG Nonlinear</t>
  </si>
  <si>
    <t>Solution Time: 0.031 Seconds.</t>
  </si>
  <si>
    <t>Iterations: 2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</si>
  <si>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</si>
  <si>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</si>
  <si>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</si>
  <si>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</si>
  <si>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</si>
  <si>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</si>
  <si>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</si>
  <si>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</si>
  <si>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</si>
  <si>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</si>
  <si>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</si>
  <si>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</si>
  <si>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</si>
  <si>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</si>
  <si>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</si>
  <si>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</si>
  <si>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Total Amount</t>
  </si>
  <si>
    <t>$C$8</t>
  </si>
  <si>
    <t>Contin</t>
  </si>
  <si>
    <t>$C$9</t>
  </si>
  <si>
    <t>$C$20=640000</t>
  </si>
  <si>
    <t>Binding</t>
  </si>
  <si>
    <t>Microsoft Excel 16.0 Sensitivity Report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</si>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</sst>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[$-409]d\-mmm;@"/>
    <numFmt numFmtId="165" formatCode="_(&quot;$&quot;* #,##0_);_(&quot;$&quot;* \(#,##0\);_(&quot;$&quot;* &quot;-&quot;??_);_(@_)"/>
    <numFmt numFmtId="166" formatCode="0.0%"/>
    <numFmt numFmtId="170" formatCode="_-[$$-409]* #,##0_ ;_-[$$-409]* \-#,##0\ ;_-[$$-409]* &quot;-&quot;??_ ;_-@_ "/>
    <numFmt numFmtId="171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5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2" xfId="0" applyFont="1" applyBorder="1"/>
    <xf numFmtId="165" fontId="2" fillId="2" borderId="7" xfId="3" applyNumberFormat="1" applyBorder="1"/>
    <xf numFmtId="9" fontId="2" fillId="2" borderId="7" xfId="3" applyNumberFormat="1" applyBorder="1"/>
    <xf numFmtId="0" fontId="3" fillId="0" borderId="4" xfId="0" applyFont="1" applyBorder="1"/>
    <xf numFmtId="166" fontId="2" fillId="2" borderId="8" xfId="3" applyNumberForma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5" fontId="0" fillId="0" borderId="3" xfId="1" applyNumberFormat="1" applyFont="1" applyBorder="1"/>
    <xf numFmtId="0" fontId="3" fillId="0" borderId="9" xfId="0" applyFont="1" applyBorder="1" applyAlignment="1">
      <alignment horizontal="left"/>
    </xf>
    <xf numFmtId="165" fontId="0" fillId="0" borderId="10" xfId="1" applyNumberFormat="1" applyFont="1" applyBorder="1"/>
    <xf numFmtId="0" fontId="3" fillId="0" borderId="11" xfId="0" applyFont="1" applyBorder="1" applyAlignment="1">
      <alignment horizontal="left"/>
    </xf>
    <xf numFmtId="165" fontId="3" fillId="0" borderId="12" xfId="1" applyNumberFormat="1" applyFont="1" applyBorder="1"/>
    <xf numFmtId="0" fontId="0" fillId="0" borderId="0" xfId="0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/>
    <xf numFmtId="9" fontId="5" fillId="0" borderId="14" xfId="0" applyNumberFormat="1" applyFont="1" applyBorder="1"/>
    <xf numFmtId="166" fontId="5" fillId="0" borderId="14" xfId="0" applyNumberFormat="1" applyFont="1" applyBorder="1"/>
    <xf numFmtId="9" fontId="0" fillId="0" borderId="14" xfId="2" applyFont="1" applyBorder="1" applyAlignment="1">
      <alignment horizontal="center"/>
    </xf>
    <xf numFmtId="170" fontId="0" fillId="0" borderId="14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6" xfId="0" applyNumberFormat="1" applyFill="1" applyBorder="1" applyAlignment="1"/>
    <xf numFmtId="0" fontId="6" fillId="3" borderId="13" xfId="0" applyFont="1" applyFill="1" applyBorder="1" applyAlignment="1">
      <alignment horizontal="left"/>
    </xf>
    <xf numFmtId="0" fontId="6" fillId="3" borderId="15" xfId="0" applyFont="1" applyFill="1" applyBorder="1" applyAlignment="1">
      <alignment horizontal="left"/>
    </xf>
    <xf numFmtId="0" fontId="0" fillId="0" borderId="17" xfId="0" applyFill="1" applyBorder="1" applyAlignment="1"/>
    <xf numFmtId="0" fontId="7" fillId="4" borderId="0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right"/>
    </xf>
    <xf numFmtId="0" fontId="9" fillId="3" borderId="13" xfId="0" applyFont="1" applyFill="1" applyBorder="1" applyAlignment="1">
      <alignment horizontal="righ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0" fontId="3" fillId="0" borderId="0" xfId="0" applyFont="1"/>
    <xf numFmtId="0" fontId="0" fillId="0" borderId="21" xfId="0" applyFill="1" applyBorder="1" applyAlignment="1"/>
    <xf numFmtId="0" fontId="8" fillId="0" borderId="20" xfId="0" applyFont="1" applyFill="1" applyBorder="1" applyAlignment="1">
      <alignment horizontal="center"/>
    </xf>
    <xf numFmtId="0" fontId="0" fillId="0" borderId="22" xfId="0" applyFill="1" applyBorder="1" applyAlignment="1"/>
    <xf numFmtId="171" fontId="0" fillId="0" borderId="21" xfId="0" applyNumberFormat="1" applyFill="1" applyBorder="1" applyAlignment="1"/>
    <xf numFmtId="9" fontId="0" fillId="0" borderId="22" xfId="0" applyNumberFormat="1" applyFill="1" applyBorder="1" applyAlignment="1"/>
    <xf numFmtId="166" fontId="0" fillId="0" borderId="21" xfId="0" applyNumberFormat="1" applyFill="1" applyBorder="1" applyAlignment="1"/>
    <xf numFmtId="0" fontId="8" fillId="0" borderId="18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3">
    <dxf>
      <numFmt numFmtId="2" formatCode="0.00"/>
    </dxf>
    <dxf>
      <numFmt numFmtId="2" formatCode="0.00"/>
    </dxf>
    <dxf>
      <numFmt numFmtId="164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D-45DC-BD06-F778C720B839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D-45DC-BD06-F778C720B839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D-45DC-BD06-F778C720B839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0D-45DC-BD06-F778C720B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66269072"/>
        <c:axId val="566951696"/>
      </c:lineChart>
      <c:catAx>
        <c:axId val="56626907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51696"/>
        <c:crosses val="autoZero"/>
        <c:auto val="1"/>
        <c:lblAlgn val="ctr"/>
        <c:lblOffset val="100"/>
        <c:noMultiLvlLbl val="0"/>
      </c:catAx>
      <c:valAx>
        <c:axId val="56695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690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2</xdr:row>
      <xdr:rowOff>142876</xdr:rowOff>
    </xdr:from>
    <xdr:to>
      <xdr:col>20</xdr:col>
      <xdr:colOff>285750</xdr:colOff>
      <xdr:row>29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B238E-8925-D185-7BA7-89DCCF7D8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E1530-F90C-4937-B718-86E82D2BCDDE}" name="Table1" displayName="Table1" ref="A1:E458" totalsRowShown="0">
  <autoFilter ref="A1:E458" xr:uid="{080E1530-F90C-4937-B718-86E82D2BCDDE}"/>
  <tableColumns count="5">
    <tableColumn id="1" xr3:uid="{41F6F075-B336-40E0-8A4C-4FBA39B5A492}" name="Date" dataDxfId="2"/>
    <tableColumn id="2" xr3:uid="{C03D4F7D-20A7-43F6-B47A-91EADAFF2882}" name="Job Count"/>
    <tableColumn id="3" xr3:uid="{5F5D4A32-A812-42DC-A022-87A406A100C4}" name="Forecast(Job Count)">
      <calculatedColumnFormula>_xlfn.FORECAST.ETS(A2,$B$2:$B$366,$A$2:$A$366,1,1)</calculatedColumnFormula>
    </tableColumn>
    <tableColumn id="4" xr3:uid="{99279D41-0341-4B91-A707-4FB6F346D680}" name="Lower Confidence Bound(Job Count)" dataDxfId="1">
      <calculatedColumnFormula>C2-_xlfn.FORECAST.ETS.CONFINT(A2,$B$2:$B$366,$A$2:$A$366,0.95,1,1)</calculatedColumnFormula>
    </tableColumn>
    <tableColumn id="5" xr3:uid="{481E9A6D-DFB4-4D7B-8607-4A5B65FE75E2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F00F-5D4E-47B1-9407-D863C0EACA12}">
  <dimension ref="A1:E458"/>
  <sheetViews>
    <sheetView workbookViewId="0">
      <selection activeCell="G34" sqref="G34"/>
    </sheetView>
  </sheetViews>
  <sheetFormatPr defaultRowHeight="15" x14ac:dyDescent="0.25"/>
  <cols>
    <col min="2" max="2" width="12.140625" customWidth="1"/>
    <col min="3" max="3" width="21.28515625" customWidth="1"/>
    <col min="4" max="4" width="36.140625" customWidth="1"/>
    <col min="5" max="5" width="3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44927</v>
      </c>
      <c r="B2">
        <v>28</v>
      </c>
    </row>
    <row r="3" spans="1:5" x14ac:dyDescent="0.25">
      <c r="A3" s="1">
        <v>44928</v>
      </c>
      <c r="B3">
        <v>88</v>
      </c>
    </row>
    <row r="4" spans="1:5" x14ac:dyDescent="0.25">
      <c r="A4" s="1">
        <v>44929</v>
      </c>
      <c r="B4">
        <v>177</v>
      </c>
    </row>
    <row r="5" spans="1:5" x14ac:dyDescent="0.25">
      <c r="A5" s="1">
        <v>44930</v>
      </c>
      <c r="B5">
        <v>176</v>
      </c>
    </row>
    <row r="6" spans="1:5" x14ac:dyDescent="0.25">
      <c r="A6" s="1">
        <v>44931</v>
      </c>
      <c r="B6">
        <v>133</v>
      </c>
    </row>
    <row r="7" spans="1:5" x14ac:dyDescent="0.25">
      <c r="A7" s="1">
        <v>44932</v>
      </c>
      <c r="B7">
        <v>106</v>
      </c>
    </row>
    <row r="8" spans="1:5" x14ac:dyDescent="0.25">
      <c r="A8" s="1">
        <v>44933</v>
      </c>
      <c r="B8">
        <v>60</v>
      </c>
    </row>
    <row r="9" spans="1:5" x14ac:dyDescent="0.25">
      <c r="A9" s="1">
        <v>44934</v>
      </c>
      <c r="B9">
        <v>38</v>
      </c>
    </row>
    <row r="10" spans="1:5" x14ac:dyDescent="0.25">
      <c r="A10" s="1">
        <v>44935</v>
      </c>
      <c r="B10">
        <v>122</v>
      </c>
    </row>
    <row r="11" spans="1:5" x14ac:dyDescent="0.25">
      <c r="A11" s="1">
        <v>44936</v>
      </c>
      <c r="B11">
        <v>150</v>
      </c>
    </row>
    <row r="12" spans="1:5" x14ac:dyDescent="0.25">
      <c r="A12" s="1">
        <v>44937</v>
      </c>
      <c r="B12">
        <v>167</v>
      </c>
    </row>
    <row r="13" spans="1:5" x14ac:dyDescent="0.25">
      <c r="A13" s="1">
        <v>44938</v>
      </c>
      <c r="B13">
        <v>125</v>
      </c>
    </row>
    <row r="14" spans="1:5" x14ac:dyDescent="0.25">
      <c r="A14" s="1">
        <v>44939</v>
      </c>
      <c r="B14">
        <v>110</v>
      </c>
    </row>
    <row r="15" spans="1:5" x14ac:dyDescent="0.25">
      <c r="A15" s="1">
        <v>44940</v>
      </c>
      <c r="B15">
        <v>63</v>
      </c>
    </row>
    <row r="16" spans="1:5" x14ac:dyDescent="0.25">
      <c r="A16" s="1">
        <v>44941</v>
      </c>
      <c r="B16">
        <v>23</v>
      </c>
    </row>
    <row r="17" spans="1:2" x14ac:dyDescent="0.25">
      <c r="A17" s="1">
        <v>44942</v>
      </c>
      <c r="B17">
        <v>98</v>
      </c>
    </row>
    <row r="18" spans="1:2" x14ac:dyDescent="0.25">
      <c r="A18" s="1">
        <v>44943</v>
      </c>
      <c r="B18">
        <v>107</v>
      </c>
    </row>
    <row r="19" spans="1:2" x14ac:dyDescent="0.25">
      <c r="A19" s="1">
        <v>44944</v>
      </c>
      <c r="B19">
        <v>126</v>
      </c>
    </row>
    <row r="20" spans="1:2" x14ac:dyDescent="0.25">
      <c r="A20" s="1">
        <v>44945</v>
      </c>
      <c r="B20">
        <v>113</v>
      </c>
    </row>
    <row r="21" spans="1:2" x14ac:dyDescent="0.25">
      <c r="A21" s="1">
        <v>44946</v>
      </c>
      <c r="B21">
        <v>111</v>
      </c>
    </row>
    <row r="22" spans="1:2" x14ac:dyDescent="0.25">
      <c r="A22" s="1">
        <v>44947</v>
      </c>
      <c r="B22">
        <v>49</v>
      </c>
    </row>
    <row r="23" spans="1:2" x14ac:dyDescent="0.25">
      <c r="A23" s="1">
        <v>44948</v>
      </c>
      <c r="B23">
        <v>37</v>
      </c>
    </row>
    <row r="24" spans="1:2" x14ac:dyDescent="0.25">
      <c r="A24" s="1">
        <v>44949</v>
      </c>
      <c r="B24">
        <v>118</v>
      </c>
    </row>
    <row r="25" spans="1:2" x14ac:dyDescent="0.25">
      <c r="A25" s="1">
        <v>44950</v>
      </c>
      <c r="B25">
        <v>115</v>
      </c>
    </row>
    <row r="26" spans="1:2" x14ac:dyDescent="0.25">
      <c r="A26" s="1">
        <v>44951</v>
      </c>
      <c r="B26">
        <v>136</v>
      </c>
    </row>
    <row r="27" spans="1:2" x14ac:dyDescent="0.25">
      <c r="A27" s="1">
        <v>44952</v>
      </c>
      <c r="B27">
        <v>111</v>
      </c>
    </row>
    <row r="28" spans="1:2" x14ac:dyDescent="0.25">
      <c r="A28" s="1">
        <v>44953</v>
      </c>
      <c r="B28">
        <v>122</v>
      </c>
    </row>
    <row r="29" spans="1:2" x14ac:dyDescent="0.25">
      <c r="A29" s="1">
        <v>44954</v>
      </c>
      <c r="B29">
        <v>52</v>
      </c>
    </row>
    <row r="30" spans="1:2" x14ac:dyDescent="0.25">
      <c r="A30" s="1">
        <v>44955</v>
      </c>
      <c r="B30">
        <v>55</v>
      </c>
    </row>
    <row r="31" spans="1:2" x14ac:dyDescent="0.25">
      <c r="A31" s="1">
        <v>44956</v>
      </c>
      <c r="B31">
        <v>74</v>
      </c>
    </row>
    <row r="32" spans="1:2" x14ac:dyDescent="0.25">
      <c r="A32" s="1">
        <v>44957</v>
      </c>
      <c r="B32">
        <v>112</v>
      </c>
    </row>
    <row r="33" spans="1:2" x14ac:dyDescent="0.25">
      <c r="A33" s="1">
        <v>44958</v>
      </c>
      <c r="B33">
        <v>97</v>
      </c>
    </row>
    <row r="34" spans="1:2" x14ac:dyDescent="0.25">
      <c r="A34" s="1">
        <v>44959</v>
      </c>
      <c r="B34">
        <v>119</v>
      </c>
    </row>
    <row r="35" spans="1:2" x14ac:dyDescent="0.25">
      <c r="A35" s="1">
        <v>44960</v>
      </c>
      <c r="B35">
        <v>123</v>
      </c>
    </row>
    <row r="36" spans="1:2" x14ac:dyDescent="0.25">
      <c r="A36" s="1">
        <v>44961</v>
      </c>
      <c r="B36">
        <v>48</v>
      </c>
    </row>
    <row r="37" spans="1:2" x14ac:dyDescent="0.25">
      <c r="A37" s="1">
        <v>44962</v>
      </c>
      <c r="B37">
        <v>21</v>
      </c>
    </row>
    <row r="38" spans="1:2" x14ac:dyDescent="0.25">
      <c r="A38" s="1">
        <v>44963</v>
      </c>
      <c r="B38">
        <v>89</v>
      </c>
    </row>
    <row r="39" spans="1:2" x14ac:dyDescent="0.25">
      <c r="A39" s="1">
        <v>44964</v>
      </c>
      <c r="B39">
        <v>120</v>
      </c>
    </row>
    <row r="40" spans="1:2" x14ac:dyDescent="0.25">
      <c r="A40" s="1">
        <v>44965</v>
      </c>
      <c r="B40">
        <v>116</v>
      </c>
    </row>
    <row r="41" spans="1:2" x14ac:dyDescent="0.25">
      <c r="A41" s="1">
        <v>44966</v>
      </c>
      <c r="B41">
        <v>138</v>
      </c>
    </row>
    <row r="42" spans="1:2" x14ac:dyDescent="0.25">
      <c r="A42" s="1">
        <v>44967</v>
      </c>
      <c r="B42">
        <v>95</v>
      </c>
    </row>
    <row r="43" spans="1:2" x14ac:dyDescent="0.25">
      <c r="A43" s="1">
        <v>44968</v>
      </c>
      <c r="B43">
        <v>58</v>
      </c>
    </row>
    <row r="44" spans="1:2" x14ac:dyDescent="0.25">
      <c r="A44" s="1">
        <v>44969</v>
      </c>
      <c r="B44">
        <v>27</v>
      </c>
    </row>
    <row r="45" spans="1:2" x14ac:dyDescent="0.25">
      <c r="A45" s="1">
        <v>44970</v>
      </c>
      <c r="B45">
        <v>109</v>
      </c>
    </row>
    <row r="46" spans="1:2" x14ac:dyDescent="0.25">
      <c r="A46" s="1">
        <v>44971</v>
      </c>
      <c r="B46">
        <v>119</v>
      </c>
    </row>
    <row r="47" spans="1:2" x14ac:dyDescent="0.25">
      <c r="A47" s="1">
        <v>44972</v>
      </c>
      <c r="B47">
        <v>107</v>
      </c>
    </row>
    <row r="48" spans="1:2" x14ac:dyDescent="0.25">
      <c r="A48" s="1">
        <v>44973</v>
      </c>
      <c r="B48">
        <v>140</v>
      </c>
    </row>
    <row r="49" spans="1:2" x14ac:dyDescent="0.25">
      <c r="A49" s="1">
        <v>44974</v>
      </c>
      <c r="B49">
        <v>121</v>
      </c>
    </row>
    <row r="50" spans="1:2" x14ac:dyDescent="0.25">
      <c r="A50" s="1">
        <v>44975</v>
      </c>
      <c r="B50">
        <v>40</v>
      </c>
    </row>
    <row r="51" spans="1:2" x14ac:dyDescent="0.25">
      <c r="A51" s="1">
        <v>44976</v>
      </c>
      <c r="B51">
        <v>25</v>
      </c>
    </row>
    <row r="52" spans="1:2" x14ac:dyDescent="0.25">
      <c r="A52" s="1">
        <v>44977</v>
      </c>
      <c r="B52">
        <v>84</v>
      </c>
    </row>
    <row r="53" spans="1:2" x14ac:dyDescent="0.25">
      <c r="A53" s="1">
        <v>44978</v>
      </c>
      <c r="B53">
        <v>89</v>
      </c>
    </row>
    <row r="54" spans="1:2" x14ac:dyDescent="0.25">
      <c r="A54" s="1">
        <v>44979</v>
      </c>
      <c r="B54">
        <v>100</v>
      </c>
    </row>
    <row r="55" spans="1:2" x14ac:dyDescent="0.25">
      <c r="A55" s="1">
        <v>44980</v>
      </c>
      <c r="B55">
        <v>124</v>
      </c>
    </row>
    <row r="56" spans="1:2" x14ac:dyDescent="0.25">
      <c r="A56" s="1">
        <v>44981</v>
      </c>
      <c r="B56">
        <v>119</v>
      </c>
    </row>
    <row r="57" spans="1:2" x14ac:dyDescent="0.25">
      <c r="A57" s="1">
        <v>44982</v>
      </c>
      <c r="B57">
        <v>42</v>
      </c>
    </row>
    <row r="58" spans="1:2" x14ac:dyDescent="0.25">
      <c r="A58" s="1">
        <v>44983</v>
      </c>
      <c r="B58">
        <v>32</v>
      </c>
    </row>
    <row r="59" spans="1:2" x14ac:dyDescent="0.25">
      <c r="A59" s="1">
        <v>44984</v>
      </c>
      <c r="B59">
        <v>108</v>
      </c>
    </row>
    <row r="60" spans="1:2" x14ac:dyDescent="0.25">
      <c r="A60" s="1">
        <v>44985</v>
      </c>
      <c r="B60">
        <v>123</v>
      </c>
    </row>
    <row r="61" spans="1:2" x14ac:dyDescent="0.25">
      <c r="A61" s="1">
        <v>44986</v>
      </c>
      <c r="B61">
        <v>104</v>
      </c>
    </row>
    <row r="62" spans="1:2" x14ac:dyDescent="0.25">
      <c r="A62" s="1">
        <v>44987</v>
      </c>
      <c r="B62">
        <v>101</v>
      </c>
    </row>
    <row r="63" spans="1:2" x14ac:dyDescent="0.25">
      <c r="A63" s="1">
        <v>44988</v>
      </c>
      <c r="B63">
        <v>100</v>
      </c>
    </row>
    <row r="64" spans="1:2" x14ac:dyDescent="0.25">
      <c r="A64" s="1">
        <v>44989</v>
      </c>
      <c r="B64">
        <v>43</v>
      </c>
    </row>
    <row r="65" spans="1:2" x14ac:dyDescent="0.25">
      <c r="A65" s="1">
        <v>44990</v>
      </c>
      <c r="B65">
        <v>30</v>
      </c>
    </row>
    <row r="66" spans="1:2" x14ac:dyDescent="0.25">
      <c r="A66" s="1">
        <v>44991</v>
      </c>
      <c r="B66">
        <v>84</v>
      </c>
    </row>
    <row r="67" spans="1:2" x14ac:dyDescent="0.25">
      <c r="A67" s="1">
        <v>44992</v>
      </c>
      <c r="B67">
        <v>140</v>
      </c>
    </row>
    <row r="68" spans="1:2" x14ac:dyDescent="0.25">
      <c r="A68" s="1">
        <v>44993</v>
      </c>
      <c r="B68">
        <v>150</v>
      </c>
    </row>
    <row r="69" spans="1:2" x14ac:dyDescent="0.25">
      <c r="A69" s="1">
        <v>44994</v>
      </c>
      <c r="B69">
        <v>127</v>
      </c>
    </row>
    <row r="70" spans="1:2" x14ac:dyDescent="0.25">
      <c r="A70" s="1">
        <v>44995</v>
      </c>
      <c r="B70">
        <v>113</v>
      </c>
    </row>
    <row r="71" spans="1:2" x14ac:dyDescent="0.25">
      <c r="A71" s="1">
        <v>44996</v>
      </c>
      <c r="B71">
        <v>47</v>
      </c>
    </row>
    <row r="72" spans="1:2" x14ac:dyDescent="0.25">
      <c r="A72" s="1">
        <v>44997</v>
      </c>
      <c r="B72">
        <v>36</v>
      </c>
    </row>
    <row r="73" spans="1:2" x14ac:dyDescent="0.25">
      <c r="A73" s="1">
        <v>44998</v>
      </c>
      <c r="B73">
        <v>120</v>
      </c>
    </row>
    <row r="74" spans="1:2" x14ac:dyDescent="0.25">
      <c r="A74" s="1">
        <v>44999</v>
      </c>
      <c r="B74">
        <v>129</v>
      </c>
    </row>
    <row r="75" spans="1:2" x14ac:dyDescent="0.25">
      <c r="A75" s="1">
        <v>45000</v>
      </c>
      <c r="B75">
        <v>117</v>
      </c>
    </row>
    <row r="76" spans="1:2" x14ac:dyDescent="0.25">
      <c r="A76" s="1">
        <v>45001</v>
      </c>
      <c r="B76">
        <v>87</v>
      </c>
    </row>
    <row r="77" spans="1:2" x14ac:dyDescent="0.25">
      <c r="A77" s="1">
        <v>45002</v>
      </c>
      <c r="B77">
        <v>98</v>
      </c>
    </row>
    <row r="78" spans="1:2" x14ac:dyDescent="0.25">
      <c r="A78" s="1">
        <v>45003</v>
      </c>
      <c r="B78">
        <v>34</v>
      </c>
    </row>
    <row r="79" spans="1:2" x14ac:dyDescent="0.25">
      <c r="A79" s="1">
        <v>45004</v>
      </c>
      <c r="B79">
        <v>25</v>
      </c>
    </row>
    <row r="80" spans="1:2" x14ac:dyDescent="0.25">
      <c r="A80" s="1">
        <v>45005</v>
      </c>
      <c r="B80">
        <v>121</v>
      </c>
    </row>
    <row r="81" spans="1:2" x14ac:dyDescent="0.25">
      <c r="A81" s="1">
        <v>45006</v>
      </c>
      <c r="B81">
        <v>115</v>
      </c>
    </row>
    <row r="82" spans="1:2" x14ac:dyDescent="0.25">
      <c r="A82" s="1">
        <v>45007</v>
      </c>
      <c r="B82">
        <v>116</v>
      </c>
    </row>
    <row r="83" spans="1:2" x14ac:dyDescent="0.25">
      <c r="A83" s="1">
        <v>45008</v>
      </c>
      <c r="B83">
        <v>105</v>
      </c>
    </row>
    <row r="84" spans="1:2" x14ac:dyDescent="0.25">
      <c r="A84" s="1">
        <v>45009</v>
      </c>
      <c r="B84">
        <v>101</v>
      </c>
    </row>
    <row r="85" spans="1:2" x14ac:dyDescent="0.25">
      <c r="A85" s="1">
        <v>45010</v>
      </c>
      <c r="B85">
        <v>47</v>
      </c>
    </row>
    <row r="86" spans="1:2" x14ac:dyDescent="0.25">
      <c r="A86" s="1">
        <v>45011</v>
      </c>
      <c r="B86">
        <v>55</v>
      </c>
    </row>
    <row r="87" spans="1:2" x14ac:dyDescent="0.25">
      <c r="A87" s="1">
        <v>45012</v>
      </c>
      <c r="B87">
        <v>106</v>
      </c>
    </row>
    <row r="88" spans="1:2" x14ac:dyDescent="0.25">
      <c r="A88" s="1">
        <v>45013</v>
      </c>
      <c r="B88">
        <v>124</v>
      </c>
    </row>
    <row r="89" spans="1:2" x14ac:dyDescent="0.25">
      <c r="A89" s="1">
        <v>45014</v>
      </c>
      <c r="B89">
        <v>139</v>
      </c>
    </row>
    <row r="90" spans="1:2" x14ac:dyDescent="0.25">
      <c r="A90" s="1">
        <v>45015</v>
      </c>
      <c r="B90">
        <v>100</v>
      </c>
    </row>
    <row r="91" spans="1:2" x14ac:dyDescent="0.25">
      <c r="A91" s="1">
        <v>45016</v>
      </c>
      <c r="B91">
        <v>113</v>
      </c>
    </row>
    <row r="92" spans="1:2" x14ac:dyDescent="0.25">
      <c r="A92" s="1">
        <v>45017</v>
      </c>
      <c r="B92">
        <v>37</v>
      </c>
    </row>
    <row r="93" spans="1:2" x14ac:dyDescent="0.25">
      <c r="A93" s="1">
        <v>45018</v>
      </c>
      <c r="B93">
        <v>20</v>
      </c>
    </row>
    <row r="94" spans="1:2" x14ac:dyDescent="0.25">
      <c r="A94" s="1">
        <v>45019</v>
      </c>
      <c r="B94">
        <v>93</v>
      </c>
    </row>
    <row r="95" spans="1:2" x14ac:dyDescent="0.25">
      <c r="A95" s="1">
        <v>45020</v>
      </c>
      <c r="B95">
        <v>116</v>
      </c>
    </row>
    <row r="96" spans="1:2" x14ac:dyDescent="0.25">
      <c r="A96" s="1">
        <v>45021</v>
      </c>
      <c r="B96">
        <v>129</v>
      </c>
    </row>
    <row r="97" spans="1:2" x14ac:dyDescent="0.25">
      <c r="A97" s="1">
        <v>45022</v>
      </c>
      <c r="B97">
        <v>108</v>
      </c>
    </row>
    <row r="98" spans="1:2" x14ac:dyDescent="0.25">
      <c r="A98" s="1">
        <v>45023</v>
      </c>
      <c r="B98">
        <v>71</v>
      </c>
    </row>
    <row r="99" spans="1:2" x14ac:dyDescent="0.25">
      <c r="A99" s="1">
        <v>45024</v>
      </c>
      <c r="B99">
        <v>31</v>
      </c>
    </row>
    <row r="100" spans="1:2" x14ac:dyDescent="0.25">
      <c r="A100" s="1">
        <v>45025</v>
      </c>
      <c r="B100">
        <v>22</v>
      </c>
    </row>
    <row r="101" spans="1:2" x14ac:dyDescent="0.25">
      <c r="A101" s="1">
        <v>45026</v>
      </c>
      <c r="B101">
        <v>66</v>
      </c>
    </row>
    <row r="102" spans="1:2" x14ac:dyDescent="0.25">
      <c r="A102" s="1">
        <v>45027</v>
      </c>
      <c r="B102">
        <v>91</v>
      </c>
    </row>
    <row r="103" spans="1:2" x14ac:dyDescent="0.25">
      <c r="A103" s="1">
        <v>45028</v>
      </c>
      <c r="B103">
        <v>152</v>
      </c>
    </row>
    <row r="104" spans="1:2" x14ac:dyDescent="0.25">
      <c r="A104" s="1">
        <v>45029</v>
      </c>
      <c r="B104">
        <v>120</v>
      </c>
    </row>
    <row r="105" spans="1:2" x14ac:dyDescent="0.25">
      <c r="A105" s="1">
        <v>45030</v>
      </c>
      <c r="B105">
        <v>105</v>
      </c>
    </row>
    <row r="106" spans="1:2" x14ac:dyDescent="0.25">
      <c r="A106" s="1">
        <v>45031</v>
      </c>
      <c r="B106">
        <v>43</v>
      </c>
    </row>
    <row r="107" spans="1:2" x14ac:dyDescent="0.25">
      <c r="A107" s="1">
        <v>45032</v>
      </c>
      <c r="B107">
        <v>9</v>
      </c>
    </row>
    <row r="108" spans="1:2" x14ac:dyDescent="0.25">
      <c r="A108" s="1">
        <v>45033</v>
      </c>
      <c r="B108">
        <v>105</v>
      </c>
    </row>
    <row r="109" spans="1:2" x14ac:dyDescent="0.25">
      <c r="A109" s="1">
        <v>45034</v>
      </c>
      <c r="B109">
        <v>143</v>
      </c>
    </row>
    <row r="110" spans="1:2" x14ac:dyDescent="0.25">
      <c r="A110" s="1">
        <v>45035</v>
      </c>
      <c r="B110">
        <v>118</v>
      </c>
    </row>
    <row r="111" spans="1:2" x14ac:dyDescent="0.25">
      <c r="A111" s="1">
        <v>45036</v>
      </c>
      <c r="B111">
        <v>90</v>
      </c>
    </row>
    <row r="112" spans="1:2" x14ac:dyDescent="0.25">
      <c r="A112" s="1">
        <v>45037</v>
      </c>
      <c r="B112">
        <v>140</v>
      </c>
    </row>
    <row r="113" spans="1:2" x14ac:dyDescent="0.25">
      <c r="A113" s="1">
        <v>45038</v>
      </c>
      <c r="B113">
        <v>29</v>
      </c>
    </row>
    <row r="114" spans="1:2" x14ac:dyDescent="0.25">
      <c r="A114" s="1">
        <v>45039</v>
      </c>
      <c r="B114">
        <v>21</v>
      </c>
    </row>
    <row r="115" spans="1:2" x14ac:dyDescent="0.25">
      <c r="A115" s="1">
        <v>45040</v>
      </c>
      <c r="B115">
        <v>96</v>
      </c>
    </row>
    <row r="116" spans="1:2" x14ac:dyDescent="0.25">
      <c r="A116" s="1">
        <v>45041</v>
      </c>
      <c r="B116">
        <v>129</v>
      </c>
    </row>
    <row r="117" spans="1:2" x14ac:dyDescent="0.25">
      <c r="A117" s="1">
        <v>45042</v>
      </c>
      <c r="B117">
        <v>137</v>
      </c>
    </row>
    <row r="118" spans="1:2" x14ac:dyDescent="0.25">
      <c r="A118" s="1">
        <v>45043</v>
      </c>
      <c r="B118">
        <v>133</v>
      </c>
    </row>
    <row r="119" spans="1:2" x14ac:dyDescent="0.25">
      <c r="A119" s="1">
        <v>45044</v>
      </c>
      <c r="B119">
        <v>144</v>
      </c>
    </row>
    <row r="120" spans="1:2" x14ac:dyDescent="0.25">
      <c r="A120" s="1">
        <v>45045</v>
      </c>
      <c r="B120">
        <v>51</v>
      </c>
    </row>
    <row r="121" spans="1:2" x14ac:dyDescent="0.25">
      <c r="A121" s="1">
        <v>45046</v>
      </c>
      <c r="B121">
        <v>39</v>
      </c>
    </row>
    <row r="122" spans="1:2" x14ac:dyDescent="0.25">
      <c r="A122" s="1">
        <v>45047</v>
      </c>
      <c r="B122">
        <v>71</v>
      </c>
    </row>
    <row r="123" spans="1:2" x14ac:dyDescent="0.25">
      <c r="A123" s="1">
        <v>45048</v>
      </c>
      <c r="B123">
        <v>145</v>
      </c>
    </row>
    <row r="124" spans="1:2" x14ac:dyDescent="0.25">
      <c r="A124" s="1">
        <v>45049</v>
      </c>
      <c r="B124">
        <v>123</v>
      </c>
    </row>
    <row r="125" spans="1:2" x14ac:dyDescent="0.25">
      <c r="A125" s="1">
        <v>45050</v>
      </c>
      <c r="B125">
        <v>117</v>
      </c>
    </row>
    <row r="126" spans="1:2" x14ac:dyDescent="0.25">
      <c r="A126" s="1">
        <v>45051</v>
      </c>
      <c r="B126">
        <v>152</v>
      </c>
    </row>
    <row r="127" spans="1:2" x14ac:dyDescent="0.25">
      <c r="A127" s="1">
        <v>45052</v>
      </c>
      <c r="B127">
        <v>47</v>
      </c>
    </row>
    <row r="128" spans="1:2" x14ac:dyDescent="0.25">
      <c r="A128" s="1">
        <v>45053</v>
      </c>
      <c r="B128">
        <v>31</v>
      </c>
    </row>
    <row r="129" spans="1:2" x14ac:dyDescent="0.25">
      <c r="A129" s="1">
        <v>45054</v>
      </c>
      <c r="B129">
        <v>115</v>
      </c>
    </row>
    <row r="130" spans="1:2" x14ac:dyDescent="0.25">
      <c r="A130" s="1">
        <v>45055</v>
      </c>
      <c r="B130">
        <v>166</v>
      </c>
    </row>
    <row r="131" spans="1:2" x14ac:dyDescent="0.25">
      <c r="A131" s="1">
        <v>45056</v>
      </c>
      <c r="B131">
        <v>122</v>
      </c>
    </row>
    <row r="132" spans="1:2" x14ac:dyDescent="0.25">
      <c r="A132" s="1">
        <v>45057</v>
      </c>
      <c r="B132">
        <v>153</v>
      </c>
    </row>
    <row r="133" spans="1:2" x14ac:dyDescent="0.25">
      <c r="A133" s="1">
        <v>45058</v>
      </c>
      <c r="B133">
        <v>143</v>
      </c>
    </row>
    <row r="134" spans="1:2" x14ac:dyDescent="0.25">
      <c r="A134" s="1">
        <v>45059</v>
      </c>
      <c r="B134">
        <v>50</v>
      </c>
    </row>
    <row r="135" spans="1:2" x14ac:dyDescent="0.25">
      <c r="A135" s="1">
        <v>45060</v>
      </c>
      <c r="B135">
        <v>20</v>
      </c>
    </row>
    <row r="136" spans="1:2" x14ac:dyDescent="0.25">
      <c r="A136" s="1">
        <v>45061</v>
      </c>
      <c r="B136">
        <v>135</v>
      </c>
    </row>
    <row r="137" spans="1:2" x14ac:dyDescent="0.25">
      <c r="A137" s="1">
        <v>45062</v>
      </c>
      <c r="B137">
        <v>122</v>
      </c>
    </row>
    <row r="138" spans="1:2" x14ac:dyDescent="0.25">
      <c r="A138" s="1">
        <v>45063</v>
      </c>
      <c r="B138">
        <v>141</v>
      </c>
    </row>
    <row r="139" spans="1:2" x14ac:dyDescent="0.25">
      <c r="A139" s="1">
        <v>45064</v>
      </c>
      <c r="B139">
        <v>33</v>
      </c>
    </row>
    <row r="140" spans="1:2" x14ac:dyDescent="0.25">
      <c r="A140" s="1">
        <v>45065</v>
      </c>
      <c r="B140">
        <v>8</v>
      </c>
    </row>
    <row r="141" spans="1:2" x14ac:dyDescent="0.25">
      <c r="A141" s="1">
        <v>45066</v>
      </c>
      <c r="B141">
        <v>6</v>
      </c>
    </row>
    <row r="142" spans="1:2" x14ac:dyDescent="0.25">
      <c r="A142" s="1">
        <v>45067</v>
      </c>
      <c r="B142">
        <v>1</v>
      </c>
    </row>
    <row r="143" spans="1:2" x14ac:dyDescent="0.25">
      <c r="A143" s="1">
        <v>45068</v>
      </c>
      <c r="B143">
        <v>1</v>
      </c>
    </row>
    <row r="144" spans="1:2" x14ac:dyDescent="0.25">
      <c r="A144" s="1">
        <v>45069</v>
      </c>
      <c r="B144">
        <v>1</v>
      </c>
    </row>
    <row r="145" spans="1:2" x14ac:dyDescent="0.25">
      <c r="A145" s="1">
        <v>45070</v>
      </c>
      <c r="B145">
        <v>92</v>
      </c>
    </row>
    <row r="146" spans="1:2" x14ac:dyDescent="0.25">
      <c r="A146" s="1">
        <v>45071</v>
      </c>
      <c r="B146">
        <v>156</v>
      </c>
    </row>
    <row r="147" spans="1:2" x14ac:dyDescent="0.25">
      <c r="A147" s="1">
        <v>45072</v>
      </c>
      <c r="B147">
        <v>140</v>
      </c>
    </row>
    <row r="148" spans="1:2" x14ac:dyDescent="0.25">
      <c r="A148" s="1">
        <v>45073</v>
      </c>
      <c r="B148">
        <v>57</v>
      </c>
    </row>
    <row r="149" spans="1:2" x14ac:dyDescent="0.25">
      <c r="A149" s="1">
        <v>45074</v>
      </c>
      <c r="B149">
        <v>21</v>
      </c>
    </row>
    <row r="150" spans="1:2" x14ac:dyDescent="0.25">
      <c r="A150" s="1">
        <v>45075</v>
      </c>
      <c r="B150">
        <v>57</v>
      </c>
    </row>
    <row r="151" spans="1:2" x14ac:dyDescent="0.25">
      <c r="A151" s="1">
        <v>45076</v>
      </c>
      <c r="B151">
        <v>99</v>
      </c>
    </row>
    <row r="152" spans="1:2" x14ac:dyDescent="0.25">
      <c r="A152" s="1">
        <v>45077</v>
      </c>
      <c r="B152">
        <v>121</v>
      </c>
    </row>
    <row r="153" spans="1:2" x14ac:dyDescent="0.25">
      <c r="A153" s="1">
        <v>45078</v>
      </c>
      <c r="B153">
        <v>109</v>
      </c>
    </row>
    <row r="154" spans="1:2" x14ac:dyDescent="0.25">
      <c r="A154" s="1">
        <v>45079</v>
      </c>
      <c r="B154">
        <v>126</v>
      </c>
    </row>
    <row r="155" spans="1:2" x14ac:dyDescent="0.25">
      <c r="A155" s="1">
        <v>45080</v>
      </c>
      <c r="B155">
        <v>44</v>
      </c>
    </row>
    <row r="156" spans="1:2" x14ac:dyDescent="0.25">
      <c r="A156" s="1">
        <v>45081</v>
      </c>
      <c r="B156">
        <v>16</v>
      </c>
    </row>
    <row r="157" spans="1:2" x14ac:dyDescent="0.25">
      <c r="A157" s="1">
        <v>45082</v>
      </c>
      <c r="B157">
        <v>126</v>
      </c>
    </row>
    <row r="158" spans="1:2" x14ac:dyDescent="0.25">
      <c r="A158" s="1">
        <v>45083</v>
      </c>
      <c r="B158">
        <v>144</v>
      </c>
    </row>
    <row r="159" spans="1:2" x14ac:dyDescent="0.25">
      <c r="A159" s="1">
        <v>45084</v>
      </c>
      <c r="B159">
        <v>140</v>
      </c>
    </row>
    <row r="160" spans="1:2" x14ac:dyDescent="0.25">
      <c r="A160" s="1">
        <v>45085</v>
      </c>
      <c r="B160">
        <v>117</v>
      </c>
    </row>
    <row r="161" spans="1:2" x14ac:dyDescent="0.25">
      <c r="A161" s="1">
        <v>45086</v>
      </c>
      <c r="B161">
        <v>121</v>
      </c>
    </row>
    <row r="162" spans="1:2" x14ac:dyDescent="0.25">
      <c r="A162" s="1">
        <v>45087</v>
      </c>
      <c r="B162">
        <v>54</v>
      </c>
    </row>
    <row r="163" spans="1:2" x14ac:dyDescent="0.25">
      <c r="A163" s="1">
        <v>45088</v>
      </c>
      <c r="B163">
        <v>13</v>
      </c>
    </row>
    <row r="164" spans="1:2" x14ac:dyDescent="0.25">
      <c r="A164" s="1">
        <v>45089</v>
      </c>
      <c r="B164">
        <v>141</v>
      </c>
    </row>
    <row r="165" spans="1:2" x14ac:dyDescent="0.25">
      <c r="A165" s="1">
        <v>45090</v>
      </c>
      <c r="B165">
        <v>100</v>
      </c>
    </row>
    <row r="166" spans="1:2" x14ac:dyDescent="0.25">
      <c r="A166" s="1">
        <v>45091</v>
      </c>
      <c r="B166">
        <v>157</v>
      </c>
    </row>
    <row r="167" spans="1:2" x14ac:dyDescent="0.25">
      <c r="A167" s="1">
        <v>45092</v>
      </c>
      <c r="B167">
        <v>159</v>
      </c>
    </row>
    <row r="168" spans="1:2" x14ac:dyDescent="0.25">
      <c r="A168" s="1">
        <v>45093</v>
      </c>
      <c r="B168">
        <v>121</v>
      </c>
    </row>
    <row r="169" spans="1:2" x14ac:dyDescent="0.25">
      <c r="A169" s="1">
        <v>45094</v>
      </c>
      <c r="B169">
        <v>39</v>
      </c>
    </row>
    <row r="170" spans="1:2" x14ac:dyDescent="0.25">
      <c r="A170" s="1">
        <v>45095</v>
      </c>
      <c r="B170">
        <v>28</v>
      </c>
    </row>
    <row r="171" spans="1:2" x14ac:dyDescent="0.25">
      <c r="A171" s="1">
        <v>45096</v>
      </c>
      <c r="B171">
        <v>96</v>
      </c>
    </row>
    <row r="172" spans="1:2" x14ac:dyDescent="0.25">
      <c r="A172" s="1">
        <v>45097</v>
      </c>
      <c r="B172">
        <v>137</v>
      </c>
    </row>
    <row r="173" spans="1:2" x14ac:dyDescent="0.25">
      <c r="A173" s="1">
        <v>45098</v>
      </c>
      <c r="B173">
        <v>146</v>
      </c>
    </row>
    <row r="174" spans="1:2" x14ac:dyDescent="0.25">
      <c r="A174" s="1">
        <v>45099</v>
      </c>
      <c r="B174">
        <v>152</v>
      </c>
    </row>
    <row r="175" spans="1:2" x14ac:dyDescent="0.25">
      <c r="A175" s="1">
        <v>45100</v>
      </c>
      <c r="B175">
        <v>148</v>
      </c>
    </row>
    <row r="176" spans="1:2" x14ac:dyDescent="0.25">
      <c r="A176" s="1">
        <v>45101</v>
      </c>
      <c r="B176">
        <v>53</v>
      </c>
    </row>
    <row r="177" spans="1:2" x14ac:dyDescent="0.25">
      <c r="A177" s="1">
        <v>45102</v>
      </c>
      <c r="B177">
        <v>28</v>
      </c>
    </row>
    <row r="178" spans="1:2" x14ac:dyDescent="0.25">
      <c r="A178" s="1">
        <v>45103</v>
      </c>
      <c r="B178">
        <v>134</v>
      </c>
    </row>
    <row r="179" spans="1:2" x14ac:dyDescent="0.25">
      <c r="A179" s="1">
        <v>45104</v>
      </c>
      <c r="B179">
        <v>176</v>
      </c>
    </row>
    <row r="180" spans="1:2" x14ac:dyDescent="0.25">
      <c r="A180" s="1">
        <v>45105</v>
      </c>
      <c r="B180">
        <v>142</v>
      </c>
    </row>
    <row r="181" spans="1:2" x14ac:dyDescent="0.25">
      <c r="A181" s="1">
        <v>45106</v>
      </c>
      <c r="B181">
        <v>144</v>
      </c>
    </row>
    <row r="182" spans="1:2" x14ac:dyDescent="0.25">
      <c r="A182" s="1">
        <v>45107</v>
      </c>
      <c r="B182">
        <v>123</v>
      </c>
    </row>
    <row r="183" spans="1:2" x14ac:dyDescent="0.25">
      <c r="A183" s="1">
        <v>45108</v>
      </c>
      <c r="B183">
        <v>63</v>
      </c>
    </row>
    <row r="184" spans="1:2" x14ac:dyDescent="0.25">
      <c r="A184" s="1">
        <v>45109</v>
      </c>
      <c r="B184">
        <v>21</v>
      </c>
    </row>
    <row r="185" spans="1:2" x14ac:dyDescent="0.25">
      <c r="A185" s="1">
        <v>45110</v>
      </c>
      <c r="B185">
        <v>89</v>
      </c>
    </row>
    <row r="186" spans="1:2" x14ac:dyDescent="0.25">
      <c r="A186" s="1">
        <v>45111</v>
      </c>
      <c r="B186">
        <v>92</v>
      </c>
    </row>
    <row r="187" spans="1:2" x14ac:dyDescent="0.25">
      <c r="A187" s="1">
        <v>45112</v>
      </c>
      <c r="B187">
        <v>131</v>
      </c>
    </row>
    <row r="188" spans="1:2" x14ac:dyDescent="0.25">
      <c r="A188" s="1">
        <v>45113</v>
      </c>
      <c r="B188">
        <v>146</v>
      </c>
    </row>
    <row r="189" spans="1:2" x14ac:dyDescent="0.25">
      <c r="A189" s="1">
        <v>45114</v>
      </c>
      <c r="B189">
        <v>132</v>
      </c>
    </row>
    <row r="190" spans="1:2" x14ac:dyDescent="0.25">
      <c r="A190" s="1">
        <v>45115</v>
      </c>
      <c r="B190">
        <v>64</v>
      </c>
    </row>
    <row r="191" spans="1:2" x14ac:dyDescent="0.25">
      <c r="A191" s="1">
        <v>45116</v>
      </c>
      <c r="B191">
        <v>29</v>
      </c>
    </row>
    <row r="192" spans="1:2" x14ac:dyDescent="0.25">
      <c r="A192" s="1">
        <v>45117</v>
      </c>
      <c r="B192">
        <v>102</v>
      </c>
    </row>
    <row r="193" spans="1:2" x14ac:dyDescent="0.25">
      <c r="A193" s="1">
        <v>45118</v>
      </c>
      <c r="B193">
        <v>141</v>
      </c>
    </row>
    <row r="194" spans="1:2" x14ac:dyDescent="0.25">
      <c r="A194" s="1">
        <v>45119</v>
      </c>
      <c r="B194">
        <v>133</v>
      </c>
    </row>
    <row r="195" spans="1:2" x14ac:dyDescent="0.25">
      <c r="A195" s="1">
        <v>45120</v>
      </c>
      <c r="B195">
        <v>123</v>
      </c>
    </row>
    <row r="196" spans="1:2" x14ac:dyDescent="0.25">
      <c r="A196" s="1">
        <v>45121</v>
      </c>
      <c r="B196">
        <v>143</v>
      </c>
    </row>
    <row r="197" spans="1:2" x14ac:dyDescent="0.25">
      <c r="A197" s="1">
        <v>45122</v>
      </c>
      <c r="B197">
        <v>47</v>
      </c>
    </row>
    <row r="198" spans="1:2" x14ac:dyDescent="0.25">
      <c r="A198" s="1">
        <v>45123</v>
      </c>
      <c r="B198">
        <v>14</v>
      </c>
    </row>
    <row r="199" spans="1:2" x14ac:dyDescent="0.25">
      <c r="A199" s="1">
        <v>45124</v>
      </c>
      <c r="B199">
        <v>134</v>
      </c>
    </row>
    <row r="200" spans="1:2" x14ac:dyDescent="0.25">
      <c r="A200" s="1">
        <v>45125</v>
      </c>
      <c r="B200">
        <v>119</v>
      </c>
    </row>
    <row r="201" spans="1:2" x14ac:dyDescent="0.25">
      <c r="A201" s="1">
        <v>45126</v>
      </c>
      <c r="B201">
        <v>133</v>
      </c>
    </row>
    <row r="202" spans="1:2" x14ac:dyDescent="0.25">
      <c r="A202" s="1">
        <v>45127</v>
      </c>
      <c r="B202">
        <v>135</v>
      </c>
    </row>
    <row r="203" spans="1:2" x14ac:dyDescent="0.25">
      <c r="A203" s="1">
        <v>45128</v>
      </c>
      <c r="B203">
        <v>109</v>
      </c>
    </row>
    <row r="204" spans="1:2" x14ac:dyDescent="0.25">
      <c r="A204" s="1">
        <v>45129</v>
      </c>
      <c r="B204">
        <v>56</v>
      </c>
    </row>
    <row r="205" spans="1:2" x14ac:dyDescent="0.25">
      <c r="A205" s="1">
        <v>45130</v>
      </c>
      <c r="B205">
        <v>33</v>
      </c>
    </row>
    <row r="206" spans="1:2" x14ac:dyDescent="0.25">
      <c r="A206" s="1">
        <v>45131</v>
      </c>
      <c r="B206">
        <v>98</v>
      </c>
    </row>
    <row r="207" spans="1:2" x14ac:dyDescent="0.25">
      <c r="A207" s="1">
        <v>45132</v>
      </c>
      <c r="B207">
        <v>133</v>
      </c>
    </row>
    <row r="208" spans="1:2" x14ac:dyDescent="0.25">
      <c r="A208" s="1">
        <v>45133</v>
      </c>
      <c r="B208">
        <v>136</v>
      </c>
    </row>
    <row r="209" spans="1:2" x14ac:dyDescent="0.25">
      <c r="A209" s="1">
        <v>45134</v>
      </c>
      <c r="B209">
        <v>95</v>
      </c>
    </row>
    <row r="210" spans="1:2" x14ac:dyDescent="0.25">
      <c r="A210" s="1">
        <v>45135</v>
      </c>
      <c r="B210">
        <v>90</v>
      </c>
    </row>
    <row r="211" spans="1:2" x14ac:dyDescent="0.25">
      <c r="A211" s="1">
        <v>45136</v>
      </c>
      <c r="B211">
        <v>33</v>
      </c>
    </row>
    <row r="212" spans="1:2" x14ac:dyDescent="0.25">
      <c r="A212" s="1">
        <v>45137</v>
      </c>
      <c r="B212">
        <v>23</v>
      </c>
    </row>
    <row r="213" spans="1:2" x14ac:dyDescent="0.25">
      <c r="A213" s="1">
        <v>45138</v>
      </c>
      <c r="B213">
        <v>86</v>
      </c>
    </row>
    <row r="214" spans="1:2" x14ac:dyDescent="0.25">
      <c r="A214" s="1">
        <v>45139</v>
      </c>
      <c r="B214">
        <v>73</v>
      </c>
    </row>
    <row r="215" spans="1:2" x14ac:dyDescent="0.25">
      <c r="A215" s="1">
        <v>45140</v>
      </c>
      <c r="B215">
        <v>87</v>
      </c>
    </row>
    <row r="216" spans="1:2" x14ac:dyDescent="0.25">
      <c r="A216" s="1">
        <v>45141</v>
      </c>
      <c r="B216">
        <v>88</v>
      </c>
    </row>
    <row r="217" spans="1:2" x14ac:dyDescent="0.25">
      <c r="A217" s="1">
        <v>45142</v>
      </c>
      <c r="B217">
        <v>106</v>
      </c>
    </row>
    <row r="218" spans="1:2" x14ac:dyDescent="0.25">
      <c r="A218" s="1">
        <v>45143</v>
      </c>
      <c r="B218">
        <v>54</v>
      </c>
    </row>
    <row r="219" spans="1:2" x14ac:dyDescent="0.25">
      <c r="A219" s="1">
        <v>45144</v>
      </c>
      <c r="B219">
        <v>33</v>
      </c>
    </row>
    <row r="220" spans="1:2" x14ac:dyDescent="0.25">
      <c r="A220" s="1">
        <v>45145</v>
      </c>
      <c r="B220">
        <v>149</v>
      </c>
    </row>
    <row r="221" spans="1:2" x14ac:dyDescent="0.25">
      <c r="A221" s="1">
        <v>45146</v>
      </c>
      <c r="B221">
        <v>181</v>
      </c>
    </row>
    <row r="222" spans="1:2" x14ac:dyDescent="0.25">
      <c r="A222" s="1">
        <v>45147</v>
      </c>
      <c r="B222">
        <v>121</v>
      </c>
    </row>
    <row r="223" spans="1:2" x14ac:dyDescent="0.25">
      <c r="A223" s="1">
        <v>45148</v>
      </c>
      <c r="B223">
        <v>125</v>
      </c>
    </row>
    <row r="224" spans="1:2" x14ac:dyDescent="0.25">
      <c r="A224" s="1">
        <v>45149</v>
      </c>
      <c r="B224">
        <v>116</v>
      </c>
    </row>
    <row r="225" spans="1:2" x14ac:dyDescent="0.25">
      <c r="A225" s="1">
        <v>45150</v>
      </c>
      <c r="B225">
        <v>76</v>
      </c>
    </row>
    <row r="226" spans="1:2" x14ac:dyDescent="0.25">
      <c r="A226" s="1">
        <v>45151</v>
      </c>
      <c r="B226">
        <v>84</v>
      </c>
    </row>
    <row r="227" spans="1:2" x14ac:dyDescent="0.25">
      <c r="A227" s="1">
        <v>45152</v>
      </c>
      <c r="B227">
        <v>148</v>
      </c>
    </row>
    <row r="228" spans="1:2" x14ac:dyDescent="0.25">
      <c r="A228" s="1">
        <v>45153</v>
      </c>
      <c r="B228">
        <v>150</v>
      </c>
    </row>
    <row r="229" spans="1:2" x14ac:dyDescent="0.25">
      <c r="A229" s="1">
        <v>45154</v>
      </c>
      <c r="B229">
        <v>167</v>
      </c>
    </row>
    <row r="230" spans="1:2" x14ac:dyDescent="0.25">
      <c r="A230" s="1">
        <v>45155</v>
      </c>
      <c r="B230">
        <v>141</v>
      </c>
    </row>
    <row r="231" spans="1:2" x14ac:dyDescent="0.25">
      <c r="A231" s="1">
        <v>45156</v>
      </c>
      <c r="B231">
        <v>145</v>
      </c>
    </row>
    <row r="232" spans="1:2" x14ac:dyDescent="0.25">
      <c r="A232" s="1">
        <v>45157</v>
      </c>
      <c r="B232">
        <v>101</v>
      </c>
    </row>
    <row r="233" spans="1:2" x14ac:dyDescent="0.25">
      <c r="A233" s="1">
        <v>45158</v>
      </c>
      <c r="B233">
        <v>41</v>
      </c>
    </row>
    <row r="234" spans="1:2" x14ac:dyDescent="0.25">
      <c r="A234" s="1">
        <v>45159</v>
      </c>
      <c r="B234">
        <v>146</v>
      </c>
    </row>
    <row r="235" spans="1:2" x14ac:dyDescent="0.25">
      <c r="A235" s="1">
        <v>45160</v>
      </c>
      <c r="B235">
        <v>140</v>
      </c>
    </row>
    <row r="236" spans="1:2" x14ac:dyDescent="0.25">
      <c r="A236" s="1">
        <v>45161</v>
      </c>
      <c r="B236">
        <v>145</v>
      </c>
    </row>
    <row r="237" spans="1:2" x14ac:dyDescent="0.25">
      <c r="A237" s="1">
        <v>45162</v>
      </c>
      <c r="B237">
        <v>127</v>
      </c>
    </row>
    <row r="238" spans="1:2" x14ac:dyDescent="0.25">
      <c r="A238" s="1">
        <v>45163</v>
      </c>
      <c r="B238">
        <v>126</v>
      </c>
    </row>
    <row r="239" spans="1:2" x14ac:dyDescent="0.25">
      <c r="A239" s="1">
        <v>45164</v>
      </c>
      <c r="B239">
        <v>60</v>
      </c>
    </row>
    <row r="240" spans="1:2" x14ac:dyDescent="0.25">
      <c r="A240" s="1">
        <v>45165</v>
      </c>
      <c r="B240">
        <v>69</v>
      </c>
    </row>
    <row r="241" spans="1:2" x14ac:dyDescent="0.25">
      <c r="A241" s="1">
        <v>45166</v>
      </c>
      <c r="B241">
        <v>136</v>
      </c>
    </row>
    <row r="242" spans="1:2" x14ac:dyDescent="0.25">
      <c r="A242" s="1">
        <v>45167</v>
      </c>
      <c r="B242">
        <v>134</v>
      </c>
    </row>
    <row r="243" spans="1:2" x14ac:dyDescent="0.25">
      <c r="A243" s="1">
        <v>45168</v>
      </c>
      <c r="B243">
        <v>160</v>
      </c>
    </row>
    <row r="244" spans="1:2" x14ac:dyDescent="0.25">
      <c r="A244" s="1">
        <v>45169</v>
      </c>
      <c r="B244">
        <v>125</v>
      </c>
    </row>
    <row r="245" spans="1:2" x14ac:dyDescent="0.25">
      <c r="A245" s="1">
        <v>45170</v>
      </c>
      <c r="B245">
        <v>132</v>
      </c>
    </row>
    <row r="246" spans="1:2" x14ac:dyDescent="0.25">
      <c r="A246" s="1">
        <v>45171</v>
      </c>
      <c r="B246">
        <v>99</v>
      </c>
    </row>
    <row r="247" spans="1:2" x14ac:dyDescent="0.25">
      <c r="A247" s="1">
        <v>45172</v>
      </c>
      <c r="B247">
        <v>68</v>
      </c>
    </row>
    <row r="248" spans="1:2" x14ac:dyDescent="0.25">
      <c r="A248" s="1">
        <v>45173</v>
      </c>
      <c r="B248">
        <v>110</v>
      </c>
    </row>
    <row r="249" spans="1:2" x14ac:dyDescent="0.25">
      <c r="A249" s="1">
        <v>45174</v>
      </c>
      <c r="B249">
        <v>136</v>
      </c>
    </row>
    <row r="250" spans="1:2" x14ac:dyDescent="0.25">
      <c r="A250" s="1">
        <v>45175</v>
      </c>
      <c r="B250">
        <v>110</v>
      </c>
    </row>
    <row r="251" spans="1:2" x14ac:dyDescent="0.25">
      <c r="A251" s="1">
        <v>45176</v>
      </c>
      <c r="B251">
        <v>80</v>
      </c>
    </row>
    <row r="252" spans="1:2" x14ac:dyDescent="0.25">
      <c r="A252" s="1">
        <v>45177</v>
      </c>
      <c r="B252">
        <v>61</v>
      </c>
    </row>
    <row r="253" spans="1:2" x14ac:dyDescent="0.25">
      <c r="A253" s="1">
        <v>45178</v>
      </c>
      <c r="B253">
        <v>54</v>
      </c>
    </row>
    <row r="254" spans="1:2" x14ac:dyDescent="0.25">
      <c r="A254" s="1">
        <v>45179</v>
      </c>
      <c r="B254">
        <v>39</v>
      </c>
    </row>
    <row r="255" spans="1:2" x14ac:dyDescent="0.25">
      <c r="A255" s="1">
        <v>45180</v>
      </c>
      <c r="B255">
        <v>81</v>
      </c>
    </row>
    <row r="256" spans="1:2" x14ac:dyDescent="0.25">
      <c r="A256" s="1">
        <v>45181</v>
      </c>
      <c r="B256">
        <v>90</v>
      </c>
    </row>
    <row r="257" spans="1:2" x14ac:dyDescent="0.25">
      <c r="A257" s="1">
        <v>45182</v>
      </c>
      <c r="B257">
        <v>74</v>
      </c>
    </row>
    <row r="258" spans="1:2" x14ac:dyDescent="0.25">
      <c r="A258" s="1">
        <v>45183</v>
      </c>
      <c r="B258">
        <v>45</v>
      </c>
    </row>
    <row r="259" spans="1:2" x14ac:dyDescent="0.25">
      <c r="A259" s="1">
        <v>45184</v>
      </c>
      <c r="B259">
        <v>94</v>
      </c>
    </row>
    <row r="260" spans="1:2" x14ac:dyDescent="0.25">
      <c r="A260" s="1">
        <v>45185</v>
      </c>
      <c r="B260">
        <v>66</v>
      </c>
    </row>
    <row r="261" spans="1:2" x14ac:dyDescent="0.25">
      <c r="A261" s="1">
        <v>45186</v>
      </c>
      <c r="B261">
        <v>52</v>
      </c>
    </row>
    <row r="262" spans="1:2" x14ac:dyDescent="0.25">
      <c r="A262" s="1">
        <v>45187</v>
      </c>
      <c r="B262">
        <v>198</v>
      </c>
    </row>
    <row r="263" spans="1:2" x14ac:dyDescent="0.25">
      <c r="A263" s="1">
        <v>45188</v>
      </c>
      <c r="B263">
        <v>127</v>
      </c>
    </row>
    <row r="264" spans="1:2" x14ac:dyDescent="0.25">
      <c r="A264" s="1">
        <v>45189</v>
      </c>
      <c r="B264">
        <v>116</v>
      </c>
    </row>
    <row r="265" spans="1:2" x14ac:dyDescent="0.25">
      <c r="A265" s="1">
        <v>45190</v>
      </c>
      <c r="B265">
        <v>107</v>
      </c>
    </row>
    <row r="266" spans="1:2" x14ac:dyDescent="0.25">
      <c r="A266" s="1">
        <v>45191</v>
      </c>
      <c r="B266">
        <v>90</v>
      </c>
    </row>
    <row r="267" spans="1:2" x14ac:dyDescent="0.25">
      <c r="A267" s="1">
        <v>45192</v>
      </c>
      <c r="B267">
        <v>48</v>
      </c>
    </row>
    <row r="268" spans="1:2" x14ac:dyDescent="0.25">
      <c r="A268" s="1">
        <v>45193</v>
      </c>
      <c r="B268">
        <v>28</v>
      </c>
    </row>
    <row r="269" spans="1:2" x14ac:dyDescent="0.25">
      <c r="A269" s="1">
        <v>45194</v>
      </c>
      <c r="B269">
        <v>108</v>
      </c>
    </row>
    <row r="270" spans="1:2" x14ac:dyDescent="0.25">
      <c r="A270" s="1">
        <v>45195</v>
      </c>
      <c r="B270">
        <v>79</v>
      </c>
    </row>
    <row r="271" spans="1:2" x14ac:dyDescent="0.25">
      <c r="A271" s="1">
        <v>45196</v>
      </c>
      <c r="B271">
        <v>108</v>
      </c>
    </row>
    <row r="272" spans="1:2" x14ac:dyDescent="0.25">
      <c r="A272" s="1">
        <v>45197</v>
      </c>
      <c r="B272">
        <v>83</v>
      </c>
    </row>
    <row r="273" spans="1:2" x14ac:dyDescent="0.25">
      <c r="A273" s="1">
        <v>45198</v>
      </c>
      <c r="B273">
        <v>115</v>
      </c>
    </row>
    <row r="274" spans="1:2" x14ac:dyDescent="0.25">
      <c r="A274" s="1">
        <v>45199</v>
      </c>
      <c r="B274">
        <v>43</v>
      </c>
    </row>
    <row r="275" spans="1:2" x14ac:dyDescent="0.25">
      <c r="A275" s="1">
        <v>45200</v>
      </c>
      <c r="B275">
        <v>71</v>
      </c>
    </row>
    <row r="276" spans="1:2" x14ac:dyDescent="0.25">
      <c r="A276" s="1">
        <v>45201</v>
      </c>
      <c r="B276">
        <v>95</v>
      </c>
    </row>
    <row r="277" spans="1:2" x14ac:dyDescent="0.25">
      <c r="A277" s="1">
        <v>45202</v>
      </c>
      <c r="B277">
        <v>99</v>
      </c>
    </row>
    <row r="278" spans="1:2" x14ac:dyDescent="0.25">
      <c r="A278" s="1">
        <v>45203</v>
      </c>
      <c r="B278">
        <v>105</v>
      </c>
    </row>
    <row r="279" spans="1:2" x14ac:dyDescent="0.25">
      <c r="A279" s="1">
        <v>45204</v>
      </c>
      <c r="B279">
        <v>98</v>
      </c>
    </row>
    <row r="280" spans="1:2" x14ac:dyDescent="0.25">
      <c r="A280" s="1">
        <v>45205</v>
      </c>
      <c r="B280">
        <v>101</v>
      </c>
    </row>
    <row r="281" spans="1:2" x14ac:dyDescent="0.25">
      <c r="A281" s="1">
        <v>45206</v>
      </c>
      <c r="B281">
        <v>30</v>
      </c>
    </row>
    <row r="282" spans="1:2" x14ac:dyDescent="0.25">
      <c r="A282" s="1">
        <v>45207</v>
      </c>
      <c r="B282">
        <v>53</v>
      </c>
    </row>
    <row r="283" spans="1:2" x14ac:dyDescent="0.25">
      <c r="A283" s="1">
        <v>45208</v>
      </c>
      <c r="B283">
        <v>89</v>
      </c>
    </row>
    <row r="284" spans="1:2" x14ac:dyDescent="0.25">
      <c r="A284" s="1">
        <v>45209</v>
      </c>
      <c r="B284">
        <v>105</v>
      </c>
    </row>
    <row r="285" spans="1:2" x14ac:dyDescent="0.25">
      <c r="A285" s="1">
        <v>45210</v>
      </c>
      <c r="B285">
        <v>107</v>
      </c>
    </row>
    <row r="286" spans="1:2" x14ac:dyDescent="0.25">
      <c r="A286" s="1">
        <v>45211</v>
      </c>
      <c r="B286">
        <v>119</v>
      </c>
    </row>
    <row r="287" spans="1:2" x14ac:dyDescent="0.25">
      <c r="A287" s="1">
        <v>45212</v>
      </c>
      <c r="B287">
        <v>113</v>
      </c>
    </row>
    <row r="288" spans="1:2" x14ac:dyDescent="0.25">
      <c r="A288" s="1">
        <v>45213</v>
      </c>
      <c r="B288">
        <v>34</v>
      </c>
    </row>
    <row r="289" spans="1:2" x14ac:dyDescent="0.25">
      <c r="A289" s="1">
        <v>45214</v>
      </c>
      <c r="B289">
        <v>66</v>
      </c>
    </row>
    <row r="290" spans="1:2" x14ac:dyDescent="0.25">
      <c r="A290" s="1">
        <v>45215</v>
      </c>
      <c r="B290">
        <v>109</v>
      </c>
    </row>
    <row r="291" spans="1:2" x14ac:dyDescent="0.25">
      <c r="A291" s="1">
        <v>45216</v>
      </c>
      <c r="B291">
        <v>92</v>
      </c>
    </row>
    <row r="292" spans="1:2" x14ac:dyDescent="0.25">
      <c r="A292" s="1">
        <v>45217</v>
      </c>
      <c r="B292">
        <v>95</v>
      </c>
    </row>
    <row r="293" spans="1:2" x14ac:dyDescent="0.25">
      <c r="A293" s="1">
        <v>45218</v>
      </c>
      <c r="B293">
        <v>83</v>
      </c>
    </row>
    <row r="294" spans="1:2" x14ac:dyDescent="0.25">
      <c r="A294" s="1">
        <v>45219</v>
      </c>
      <c r="B294">
        <v>79</v>
      </c>
    </row>
    <row r="295" spans="1:2" x14ac:dyDescent="0.25">
      <c r="A295" s="1">
        <v>45220</v>
      </c>
      <c r="B295">
        <v>38</v>
      </c>
    </row>
    <row r="296" spans="1:2" x14ac:dyDescent="0.25">
      <c r="A296" s="1">
        <v>45221</v>
      </c>
      <c r="B296">
        <v>36</v>
      </c>
    </row>
    <row r="297" spans="1:2" x14ac:dyDescent="0.25">
      <c r="A297" s="1">
        <v>45222</v>
      </c>
      <c r="B297">
        <v>76</v>
      </c>
    </row>
    <row r="298" spans="1:2" x14ac:dyDescent="0.25">
      <c r="A298" s="1">
        <v>45223</v>
      </c>
      <c r="B298">
        <v>76</v>
      </c>
    </row>
    <row r="299" spans="1:2" x14ac:dyDescent="0.25">
      <c r="A299" s="1">
        <v>45224</v>
      </c>
      <c r="B299">
        <v>83</v>
      </c>
    </row>
    <row r="300" spans="1:2" x14ac:dyDescent="0.25">
      <c r="A300" s="1">
        <v>45225</v>
      </c>
      <c r="B300">
        <v>127</v>
      </c>
    </row>
    <row r="301" spans="1:2" x14ac:dyDescent="0.25">
      <c r="A301" s="1">
        <v>45226</v>
      </c>
      <c r="B301">
        <v>62</v>
      </c>
    </row>
    <row r="302" spans="1:2" x14ac:dyDescent="0.25">
      <c r="A302" s="1">
        <v>45227</v>
      </c>
      <c r="B302">
        <v>42</v>
      </c>
    </row>
    <row r="303" spans="1:2" x14ac:dyDescent="0.25">
      <c r="A303" s="1">
        <v>45228</v>
      </c>
      <c r="B303">
        <v>42</v>
      </c>
    </row>
    <row r="304" spans="1:2" x14ac:dyDescent="0.25">
      <c r="A304" s="1">
        <v>45229</v>
      </c>
      <c r="B304">
        <v>125</v>
      </c>
    </row>
    <row r="305" spans="1:2" x14ac:dyDescent="0.25">
      <c r="A305" s="1">
        <v>45230</v>
      </c>
      <c r="B305">
        <v>102</v>
      </c>
    </row>
    <row r="306" spans="1:2" x14ac:dyDescent="0.25">
      <c r="A306" s="1">
        <v>45231</v>
      </c>
      <c r="B306">
        <v>74</v>
      </c>
    </row>
    <row r="307" spans="1:2" x14ac:dyDescent="0.25">
      <c r="A307" s="1">
        <v>45232</v>
      </c>
      <c r="B307">
        <v>90</v>
      </c>
    </row>
    <row r="308" spans="1:2" x14ac:dyDescent="0.25">
      <c r="A308" s="1">
        <v>45233</v>
      </c>
      <c r="B308">
        <v>76</v>
      </c>
    </row>
    <row r="309" spans="1:2" x14ac:dyDescent="0.25">
      <c r="A309" s="1">
        <v>45234</v>
      </c>
      <c r="B309">
        <v>45</v>
      </c>
    </row>
    <row r="310" spans="1:2" x14ac:dyDescent="0.25">
      <c r="A310" s="1">
        <v>45235</v>
      </c>
      <c r="B310">
        <v>60</v>
      </c>
    </row>
    <row r="311" spans="1:2" x14ac:dyDescent="0.25">
      <c r="A311" s="1">
        <v>45236</v>
      </c>
      <c r="B311">
        <v>64</v>
      </c>
    </row>
    <row r="312" spans="1:2" x14ac:dyDescent="0.25">
      <c r="A312" s="1">
        <v>45237</v>
      </c>
      <c r="B312">
        <v>84</v>
      </c>
    </row>
    <row r="313" spans="1:2" x14ac:dyDescent="0.25">
      <c r="A313" s="1">
        <v>45238</v>
      </c>
      <c r="B313">
        <v>83</v>
      </c>
    </row>
    <row r="314" spans="1:2" x14ac:dyDescent="0.25">
      <c r="A314" s="1">
        <v>45239</v>
      </c>
      <c r="B314">
        <v>98</v>
      </c>
    </row>
    <row r="315" spans="1:2" x14ac:dyDescent="0.25">
      <c r="A315" s="1">
        <v>45240</v>
      </c>
      <c r="B315">
        <v>76</v>
      </c>
    </row>
    <row r="316" spans="1:2" x14ac:dyDescent="0.25">
      <c r="A316" s="1">
        <v>45241</v>
      </c>
      <c r="B316">
        <v>46</v>
      </c>
    </row>
    <row r="317" spans="1:2" x14ac:dyDescent="0.25">
      <c r="A317" s="1">
        <v>45242</v>
      </c>
      <c r="B317">
        <v>49</v>
      </c>
    </row>
    <row r="318" spans="1:2" x14ac:dyDescent="0.25">
      <c r="A318" s="1">
        <v>45243</v>
      </c>
      <c r="B318">
        <v>51</v>
      </c>
    </row>
    <row r="319" spans="1:2" x14ac:dyDescent="0.25">
      <c r="A319" s="1">
        <v>45244</v>
      </c>
      <c r="B319">
        <v>64</v>
      </c>
    </row>
    <row r="320" spans="1:2" x14ac:dyDescent="0.25">
      <c r="A320" s="1">
        <v>45245</v>
      </c>
      <c r="B320">
        <v>89</v>
      </c>
    </row>
    <row r="321" spans="1:2" x14ac:dyDescent="0.25">
      <c r="A321" s="1">
        <v>45246</v>
      </c>
      <c r="B321">
        <v>79</v>
      </c>
    </row>
    <row r="322" spans="1:2" x14ac:dyDescent="0.25">
      <c r="A322" s="1">
        <v>45247</v>
      </c>
      <c r="B322">
        <v>93</v>
      </c>
    </row>
    <row r="323" spans="1:2" x14ac:dyDescent="0.25">
      <c r="A323" s="1">
        <v>45248</v>
      </c>
      <c r="B323">
        <v>83</v>
      </c>
    </row>
    <row r="324" spans="1:2" x14ac:dyDescent="0.25">
      <c r="A324" s="1">
        <v>45249</v>
      </c>
      <c r="B324">
        <v>25</v>
      </c>
    </row>
    <row r="325" spans="1:2" x14ac:dyDescent="0.25">
      <c r="A325" s="1">
        <v>45250</v>
      </c>
      <c r="B325">
        <v>48</v>
      </c>
    </row>
    <row r="326" spans="1:2" x14ac:dyDescent="0.25">
      <c r="A326" s="1">
        <v>45251</v>
      </c>
      <c r="B326">
        <v>68</v>
      </c>
    </row>
    <row r="327" spans="1:2" x14ac:dyDescent="0.25">
      <c r="A327" s="1">
        <v>45252</v>
      </c>
      <c r="B327">
        <v>65</v>
      </c>
    </row>
    <row r="328" spans="1:2" x14ac:dyDescent="0.25">
      <c r="A328" s="1">
        <v>45253</v>
      </c>
      <c r="B328">
        <v>39</v>
      </c>
    </row>
    <row r="329" spans="1:2" x14ac:dyDescent="0.25">
      <c r="A329" s="1">
        <v>45254</v>
      </c>
      <c r="B329">
        <v>63</v>
      </c>
    </row>
    <row r="330" spans="1:2" x14ac:dyDescent="0.25">
      <c r="A330" s="1">
        <v>45255</v>
      </c>
      <c r="B330">
        <v>30</v>
      </c>
    </row>
    <row r="331" spans="1:2" x14ac:dyDescent="0.25">
      <c r="A331" s="1">
        <v>45256</v>
      </c>
      <c r="B331">
        <v>45</v>
      </c>
    </row>
    <row r="332" spans="1:2" x14ac:dyDescent="0.25">
      <c r="A332" s="1">
        <v>45257</v>
      </c>
      <c r="B332">
        <v>46</v>
      </c>
    </row>
    <row r="333" spans="1:2" x14ac:dyDescent="0.25">
      <c r="A333" s="1">
        <v>45258</v>
      </c>
      <c r="B333">
        <v>78</v>
      </c>
    </row>
    <row r="334" spans="1:2" x14ac:dyDescent="0.25">
      <c r="A334" s="1">
        <v>45259</v>
      </c>
      <c r="B334">
        <v>70</v>
      </c>
    </row>
    <row r="335" spans="1:2" x14ac:dyDescent="0.25">
      <c r="A335" s="1">
        <v>45260</v>
      </c>
      <c r="B335">
        <v>82</v>
      </c>
    </row>
    <row r="336" spans="1:2" x14ac:dyDescent="0.25">
      <c r="A336" s="1">
        <v>45261</v>
      </c>
      <c r="B336">
        <v>90</v>
      </c>
    </row>
    <row r="337" spans="1:2" x14ac:dyDescent="0.25">
      <c r="A337" s="1">
        <v>45262</v>
      </c>
      <c r="B337">
        <v>45</v>
      </c>
    </row>
    <row r="338" spans="1:2" x14ac:dyDescent="0.25">
      <c r="A338" s="1">
        <v>45263</v>
      </c>
      <c r="B338">
        <v>34</v>
      </c>
    </row>
    <row r="339" spans="1:2" x14ac:dyDescent="0.25">
      <c r="A339" s="1">
        <v>45264</v>
      </c>
      <c r="B339">
        <v>57</v>
      </c>
    </row>
    <row r="340" spans="1:2" x14ac:dyDescent="0.25">
      <c r="A340" s="1">
        <v>45265</v>
      </c>
      <c r="B340">
        <v>82</v>
      </c>
    </row>
    <row r="341" spans="1:2" x14ac:dyDescent="0.25">
      <c r="A341" s="1">
        <v>45266</v>
      </c>
      <c r="B341">
        <v>80</v>
      </c>
    </row>
    <row r="342" spans="1:2" x14ac:dyDescent="0.25">
      <c r="A342" s="1">
        <v>45267</v>
      </c>
      <c r="B342">
        <v>88</v>
      </c>
    </row>
    <row r="343" spans="1:2" x14ac:dyDescent="0.25">
      <c r="A343" s="1">
        <v>45268</v>
      </c>
      <c r="B343">
        <v>69</v>
      </c>
    </row>
    <row r="344" spans="1:2" x14ac:dyDescent="0.25">
      <c r="A344" s="1">
        <v>45269</v>
      </c>
      <c r="B344">
        <v>42</v>
      </c>
    </row>
    <row r="345" spans="1:2" x14ac:dyDescent="0.25">
      <c r="A345" s="1">
        <v>45270</v>
      </c>
      <c r="B345">
        <v>70</v>
      </c>
    </row>
    <row r="346" spans="1:2" x14ac:dyDescent="0.25">
      <c r="A346" s="1">
        <v>45271</v>
      </c>
      <c r="B346">
        <v>61</v>
      </c>
    </row>
    <row r="347" spans="1:2" x14ac:dyDescent="0.25">
      <c r="A347" s="1">
        <v>45272</v>
      </c>
      <c r="B347">
        <v>107</v>
      </c>
    </row>
    <row r="348" spans="1:2" x14ac:dyDescent="0.25">
      <c r="A348" s="1">
        <v>45273</v>
      </c>
      <c r="B348">
        <v>144</v>
      </c>
    </row>
    <row r="349" spans="1:2" x14ac:dyDescent="0.25">
      <c r="A349" s="1">
        <v>45274</v>
      </c>
      <c r="B349">
        <v>87</v>
      </c>
    </row>
    <row r="350" spans="1:2" x14ac:dyDescent="0.25">
      <c r="A350" s="1">
        <v>45275</v>
      </c>
      <c r="B350">
        <v>108</v>
      </c>
    </row>
    <row r="351" spans="1:2" x14ac:dyDescent="0.25">
      <c r="A351" s="1">
        <v>45276</v>
      </c>
      <c r="B351">
        <v>51</v>
      </c>
    </row>
    <row r="352" spans="1:2" x14ac:dyDescent="0.25">
      <c r="A352" s="1">
        <v>45277</v>
      </c>
      <c r="B352">
        <v>37</v>
      </c>
    </row>
    <row r="353" spans="1:5" x14ac:dyDescent="0.25">
      <c r="A353" s="1">
        <v>45278</v>
      </c>
      <c r="B353">
        <v>70</v>
      </c>
    </row>
    <row r="354" spans="1:5" x14ac:dyDescent="0.25">
      <c r="A354" s="1">
        <v>45279</v>
      </c>
      <c r="B354">
        <v>65</v>
      </c>
    </row>
    <row r="355" spans="1:5" x14ac:dyDescent="0.25">
      <c r="A355" s="1">
        <v>45280</v>
      </c>
      <c r="B355">
        <v>85</v>
      </c>
    </row>
    <row r="356" spans="1:5" x14ac:dyDescent="0.25">
      <c r="A356" s="1">
        <v>45281</v>
      </c>
      <c r="B356">
        <v>69</v>
      </c>
    </row>
    <row r="357" spans="1:5" x14ac:dyDescent="0.25">
      <c r="A357" s="1">
        <v>45282</v>
      </c>
      <c r="B357">
        <v>66</v>
      </c>
    </row>
    <row r="358" spans="1:5" x14ac:dyDescent="0.25">
      <c r="A358" s="1">
        <v>45283</v>
      </c>
      <c r="B358">
        <v>41</v>
      </c>
    </row>
    <row r="359" spans="1:5" x14ac:dyDescent="0.25">
      <c r="A359" s="1">
        <v>45284</v>
      </c>
      <c r="B359">
        <v>40</v>
      </c>
    </row>
    <row r="360" spans="1:5" x14ac:dyDescent="0.25">
      <c r="A360" s="1">
        <v>45285</v>
      </c>
      <c r="B360">
        <v>40</v>
      </c>
    </row>
    <row r="361" spans="1:5" x14ac:dyDescent="0.25">
      <c r="A361" s="1">
        <v>45286</v>
      </c>
      <c r="B361">
        <v>45</v>
      </c>
    </row>
    <row r="362" spans="1:5" x14ac:dyDescent="0.25">
      <c r="A362" s="1">
        <v>45287</v>
      </c>
      <c r="B362">
        <v>77</v>
      </c>
    </row>
    <row r="363" spans="1:5" x14ac:dyDescent="0.25">
      <c r="A363" s="1">
        <v>45288</v>
      </c>
      <c r="B363">
        <v>57</v>
      </c>
    </row>
    <row r="364" spans="1:5" x14ac:dyDescent="0.25">
      <c r="A364" s="1">
        <v>45289</v>
      </c>
      <c r="B364">
        <v>70</v>
      </c>
    </row>
    <row r="365" spans="1:5" x14ac:dyDescent="0.25">
      <c r="A365" s="1">
        <v>45290</v>
      </c>
      <c r="B365">
        <v>42</v>
      </c>
    </row>
    <row r="366" spans="1:5" x14ac:dyDescent="0.25">
      <c r="A366" s="1">
        <v>45291</v>
      </c>
      <c r="B366">
        <v>30</v>
      </c>
      <c r="C366">
        <v>30</v>
      </c>
      <c r="D366" s="2">
        <v>30</v>
      </c>
      <c r="E366" s="2">
        <v>30</v>
      </c>
    </row>
    <row r="367" spans="1:5" x14ac:dyDescent="0.25">
      <c r="A367" s="1">
        <v>45292</v>
      </c>
      <c r="C367">
        <f>_xlfn.FORECAST.ETS(A367,$B$2:$B$366,$A$2:$A$366,1,1)</f>
        <v>44.490739333500457</v>
      </c>
      <c r="D367" s="2">
        <f>C367-_xlfn.FORECAST.ETS.CONFINT(A367,$B$2:$B$366,$A$2:$A$366,0.95,1,1)</f>
        <v>-2.1006233086081778</v>
      </c>
      <c r="E367" s="2">
        <f>C367+_xlfn.FORECAST.ETS.CONFINT(A367,$B$2:$B$366,$A$2:$A$366,0.95,1,1)</f>
        <v>91.082101975609092</v>
      </c>
    </row>
    <row r="368" spans="1:5" x14ac:dyDescent="0.25">
      <c r="A368" s="1">
        <v>45293</v>
      </c>
      <c r="C368">
        <f>_xlfn.FORECAST.ETS(A368,$B$2:$B$366,$A$2:$A$366,1,1)</f>
        <v>60.561481890528384</v>
      </c>
      <c r="D368" s="2">
        <f>C368-_xlfn.FORECAST.ETS.CONFINT(A368,$B$2:$B$366,$A$2:$A$366,0.95,1,1)</f>
        <v>12.513519363542436</v>
      </c>
      <c r="E368" s="2">
        <f>C368+_xlfn.FORECAST.ETS.CONFINT(A368,$B$2:$B$366,$A$2:$A$366,0.95,1,1)</f>
        <v>108.60944441751434</v>
      </c>
    </row>
    <row r="369" spans="1:5" x14ac:dyDescent="0.25">
      <c r="A369" s="1">
        <v>45294</v>
      </c>
      <c r="C369">
        <f>_xlfn.FORECAST.ETS(A369,$B$2:$B$366,$A$2:$A$366,1,1)</f>
        <v>79.425063879258175</v>
      </c>
      <c r="D369" s="2">
        <f>C369-_xlfn.FORECAST.ETS.CONFINT(A369,$B$2:$B$366,$A$2:$A$366,0.95,1,1)</f>
        <v>29.952297992837352</v>
      </c>
      <c r="E369" s="2">
        <f>C369+_xlfn.FORECAST.ETS.CONFINT(A369,$B$2:$B$366,$A$2:$A$366,0.95,1,1)</f>
        <v>128.89782976567901</v>
      </c>
    </row>
    <row r="370" spans="1:5" x14ac:dyDescent="0.25">
      <c r="A370" s="1">
        <v>45295</v>
      </c>
      <c r="C370">
        <f>_xlfn.FORECAST.ETS(A370,$B$2:$B$366,$A$2:$A$366,1,1)</f>
        <v>63.135902609367555</v>
      </c>
      <c r="D370" s="2">
        <f>C370-_xlfn.FORECAST.ETS.CONFINT(A370,$B$2:$B$366,$A$2:$A$366,0.95,1,1)</f>
        <v>12.267415323696312</v>
      </c>
      <c r="E370" s="2">
        <f>C370+_xlfn.FORECAST.ETS.CONFINT(A370,$B$2:$B$366,$A$2:$A$366,0.95,1,1)</f>
        <v>114.0043898950388</v>
      </c>
    </row>
    <row r="371" spans="1:5" x14ac:dyDescent="0.25">
      <c r="A371" s="1">
        <v>45296</v>
      </c>
      <c r="C371">
        <f>_xlfn.FORECAST.ETS(A371,$B$2:$B$366,$A$2:$A$366,1,1)</f>
        <v>68.609720435612303</v>
      </c>
      <c r="D371" s="2">
        <f>C371-_xlfn.FORECAST.ETS.CONFINT(A371,$B$2:$B$366,$A$2:$A$366,0.95,1,1)</f>
        <v>16.372220999436486</v>
      </c>
      <c r="E371" s="2">
        <f>C371+_xlfn.FORECAST.ETS.CONFINT(A371,$B$2:$B$366,$A$2:$A$366,0.95,1,1)</f>
        <v>120.84721987178813</v>
      </c>
    </row>
    <row r="372" spans="1:5" x14ac:dyDescent="0.25">
      <c r="A372" s="1">
        <v>45297</v>
      </c>
      <c r="C372">
        <f>_xlfn.FORECAST.ETS(A372,$B$2:$B$366,$A$2:$A$366,1,1)</f>
        <v>34.607091016174465</v>
      </c>
      <c r="D372" s="2">
        <f>C372-_xlfn.FORECAST.ETS.CONFINT(A372,$B$2:$B$366,$A$2:$A$366,0.95,1,1)</f>
        <v>-18.974799131511318</v>
      </c>
      <c r="E372" s="2">
        <f>C372+_xlfn.FORECAST.ETS.CONFINT(A372,$B$2:$B$366,$A$2:$A$366,0.95,1,1)</f>
        <v>88.188981163860248</v>
      </c>
    </row>
    <row r="373" spans="1:5" x14ac:dyDescent="0.25">
      <c r="A373" s="1">
        <v>45298</v>
      </c>
      <c r="C373">
        <f>_xlfn.FORECAST.ETS(A373,$B$2:$B$366,$A$2:$A$366,1,1)</f>
        <v>29.526809189014482</v>
      </c>
      <c r="D373" s="2">
        <f>C373-_xlfn.FORECAST.ETS.CONFINT(A373,$B$2:$B$366,$A$2:$A$366,0.95,1,1)</f>
        <v>-25.376698473112494</v>
      </c>
      <c r="E373" s="2">
        <f>C373+_xlfn.FORECAST.ETS.CONFINT(A373,$B$2:$B$366,$A$2:$A$366,0.95,1,1)</f>
        <v>84.430316851141455</v>
      </c>
    </row>
    <row r="374" spans="1:5" x14ac:dyDescent="0.25">
      <c r="A374" s="1">
        <v>45299</v>
      </c>
      <c r="C374">
        <f>_xlfn.FORECAST.ETS(A374,$B$2:$B$366,$A$2:$A$366,1,1)</f>
        <v>44.017548522514943</v>
      </c>
      <c r="D374" s="2">
        <f>C374-_xlfn.FORECAST.ETS.CONFINT(A374,$B$2:$B$366,$A$2:$A$366,0.95,1,1)</f>
        <v>-15.770317225685204</v>
      </c>
      <c r="E374" s="2">
        <f>C374+_xlfn.FORECAST.ETS.CONFINT(A374,$B$2:$B$366,$A$2:$A$366,0.95,1,1)</f>
        <v>103.80541427071509</v>
      </c>
    </row>
    <row r="375" spans="1:5" x14ac:dyDescent="0.25">
      <c r="A375" s="1">
        <v>45300</v>
      </c>
      <c r="C375">
        <f>_xlfn.FORECAST.ETS(A375,$B$2:$B$366,$A$2:$A$366,1,1)</f>
        <v>60.088291079542856</v>
      </c>
      <c r="D375" s="2">
        <f>C375-_xlfn.FORECAST.ETS.CONFINT(A375,$B$2:$B$366,$A$2:$A$366,0.95,1,1)</f>
        <v>-0.90519473465334954</v>
      </c>
      <c r="E375" s="2">
        <f>C375+_xlfn.FORECAST.ETS.CONFINT(A375,$B$2:$B$366,$A$2:$A$366,0.95,1,1)</f>
        <v>121.08177689373906</v>
      </c>
    </row>
    <row r="376" spans="1:5" x14ac:dyDescent="0.25">
      <c r="A376" s="1">
        <v>45301</v>
      </c>
      <c r="C376">
        <f>_xlfn.FORECAST.ETS(A376,$B$2:$B$366,$A$2:$A$366,1,1)</f>
        <v>78.951873068272647</v>
      </c>
      <c r="D376" s="2">
        <f>C376-_xlfn.FORECAST.ETS.CONFINT(A376,$B$2:$B$366,$A$2:$A$366,0.95,1,1)</f>
        <v>16.76708107946633</v>
      </c>
      <c r="E376" s="2">
        <f>C376+_xlfn.FORECAST.ETS.CONFINT(A376,$B$2:$B$366,$A$2:$A$366,0.95,1,1)</f>
        <v>141.13666505707897</v>
      </c>
    </row>
    <row r="377" spans="1:5" x14ac:dyDescent="0.25">
      <c r="A377" s="1">
        <v>45302</v>
      </c>
      <c r="C377">
        <f>_xlfn.FORECAST.ETS(A377,$B$2:$B$366,$A$2:$A$366,1,1)</f>
        <v>62.662711798382027</v>
      </c>
      <c r="D377" s="2">
        <f>C377-_xlfn.FORECAST.ETS.CONFINT(A377,$B$2:$B$366,$A$2:$A$366,0.95,1,1)</f>
        <v>-0.69991410213302174</v>
      </c>
      <c r="E377" s="2">
        <f>C377+_xlfn.FORECAST.ETS.CONFINT(A377,$B$2:$B$366,$A$2:$A$366,0.95,1,1)</f>
        <v>126.02533769889708</v>
      </c>
    </row>
    <row r="378" spans="1:5" x14ac:dyDescent="0.25">
      <c r="A378" s="1">
        <v>45303</v>
      </c>
      <c r="C378">
        <f>_xlfn.FORECAST.ETS(A378,$B$2:$B$366,$A$2:$A$366,1,1)</f>
        <v>68.136529624626775</v>
      </c>
      <c r="D378" s="2">
        <f>C378-_xlfn.FORECAST.ETS.CONFINT(A378,$B$2:$B$366,$A$2:$A$366,0.95,1,1)</f>
        <v>3.6087706969433242</v>
      </c>
      <c r="E378" s="2">
        <f>C378+_xlfn.FORECAST.ETS.CONFINT(A378,$B$2:$B$366,$A$2:$A$366,0.95,1,1)</f>
        <v>132.66428855231021</v>
      </c>
    </row>
    <row r="379" spans="1:5" x14ac:dyDescent="0.25">
      <c r="A379" s="1">
        <v>45304</v>
      </c>
      <c r="C379">
        <f>_xlfn.FORECAST.ETS(A379,$B$2:$B$366,$A$2:$A$366,1,1)</f>
        <v>34.133900205188944</v>
      </c>
      <c r="D379" s="2">
        <f>C379-_xlfn.FORECAST.ETS.CONFINT(A379,$B$2:$B$366,$A$2:$A$366,0.95,1,1)</f>
        <v>-31.546999833278015</v>
      </c>
      <c r="E379" s="2">
        <f>C379+_xlfn.FORECAST.ETS.CONFINT(A379,$B$2:$B$366,$A$2:$A$366,0.95,1,1)</f>
        <v>99.814800243655895</v>
      </c>
    </row>
    <row r="380" spans="1:5" x14ac:dyDescent="0.25">
      <c r="A380" s="1">
        <v>45305</v>
      </c>
      <c r="C380">
        <f>_xlfn.FORECAST.ETS(A380,$B$2:$B$366,$A$2:$A$366,1,1)</f>
        <v>29.053618378028954</v>
      </c>
      <c r="D380" s="2">
        <f>C380-_xlfn.FORECAST.ETS.CONFINT(A380,$B$2:$B$366,$A$2:$A$366,0.95,1,1)</f>
        <v>-37.769084166991888</v>
      </c>
      <c r="E380" s="2">
        <f>C380+_xlfn.FORECAST.ETS.CONFINT(A380,$B$2:$B$366,$A$2:$A$366,0.95,1,1)</f>
        <v>95.876320923049803</v>
      </c>
    </row>
    <row r="381" spans="1:5" x14ac:dyDescent="0.25">
      <c r="A381" s="1">
        <v>45306</v>
      </c>
      <c r="C381">
        <f>_xlfn.FORECAST.ETS(A381,$B$2:$B$366,$A$2:$A$366,1,1)</f>
        <v>43.544357711529415</v>
      </c>
      <c r="D381" s="2">
        <f>C381-_xlfn.FORECAST.ETS.CONFINT(A381,$B$2:$B$366,$A$2:$A$366,0.95,1,1)</f>
        <v>-27.455727426564422</v>
      </c>
      <c r="E381" s="2">
        <f>C381+_xlfn.FORECAST.ETS.CONFINT(A381,$B$2:$B$366,$A$2:$A$366,0.95,1,1)</f>
        <v>114.54444284962325</v>
      </c>
    </row>
    <row r="382" spans="1:5" x14ac:dyDescent="0.25">
      <c r="A382" s="1">
        <v>45307</v>
      </c>
      <c r="C382">
        <f>_xlfn.FORECAST.ETS(A382,$B$2:$B$366,$A$2:$A$366,1,1)</f>
        <v>59.615100268557327</v>
      </c>
      <c r="D382" s="2">
        <f>C382-_xlfn.FORECAST.ETS.CONFINT(A382,$B$2:$B$366,$A$2:$A$366,0.95,1,1)</f>
        <v>-12.458515122590086</v>
      </c>
      <c r="E382" s="2">
        <f>C382+_xlfn.FORECAST.ETS.CONFINT(A382,$B$2:$B$366,$A$2:$A$366,0.95,1,1)</f>
        <v>131.68871565970474</v>
      </c>
    </row>
    <row r="383" spans="1:5" x14ac:dyDescent="0.25">
      <c r="A383" s="1">
        <v>45308</v>
      </c>
      <c r="C383">
        <f>_xlfn.FORECAST.ETS(A383,$B$2:$B$366,$A$2:$A$366,1,1)</f>
        <v>78.478682257287119</v>
      </c>
      <c r="D383" s="2">
        <f>C383-_xlfn.FORECAST.ETS.CONFINT(A383,$B$2:$B$366,$A$2:$A$366,0.95,1,1)</f>
        <v>5.339383696668321</v>
      </c>
      <c r="E383" s="2">
        <f>C383+_xlfn.FORECAST.ETS.CONFINT(A383,$B$2:$B$366,$A$2:$A$366,0.95,1,1)</f>
        <v>151.6179808179059</v>
      </c>
    </row>
    <row r="384" spans="1:5" x14ac:dyDescent="0.25">
      <c r="A384" s="1">
        <v>45309</v>
      </c>
      <c r="C384">
        <f>_xlfn.FORECAST.ETS(A384,$B$2:$B$366,$A$2:$A$366,1,1)</f>
        <v>62.189520987396506</v>
      </c>
      <c r="D384" s="2">
        <f>C384-_xlfn.FORECAST.ETS.CONFINT(A384,$B$2:$B$366,$A$2:$A$366,0.95,1,1)</f>
        <v>-12.007981034515282</v>
      </c>
      <c r="E384" s="2">
        <f>C384+_xlfn.FORECAST.ETS.CONFINT(A384,$B$2:$B$366,$A$2:$A$366,0.95,1,1)</f>
        <v>136.38702300930828</v>
      </c>
    </row>
    <row r="385" spans="1:5" x14ac:dyDescent="0.25">
      <c r="A385" s="1">
        <v>45310</v>
      </c>
      <c r="C385">
        <f>_xlfn.FORECAST.ETS(A385,$B$2:$B$366,$A$2:$A$366,1,1)</f>
        <v>67.663338813641246</v>
      </c>
      <c r="D385" s="2">
        <f>C385-_xlfn.FORECAST.ETS.CONFINT(A385,$B$2:$B$366,$A$2:$A$366,0.95,1,1)</f>
        <v>-7.585231366249829</v>
      </c>
      <c r="E385" s="2">
        <f>C385+_xlfn.FORECAST.ETS.CONFINT(A385,$B$2:$B$366,$A$2:$A$366,0.95,1,1)</f>
        <v>142.91190899353234</v>
      </c>
    </row>
    <row r="386" spans="1:5" x14ac:dyDescent="0.25">
      <c r="A386" s="1">
        <v>45311</v>
      </c>
      <c r="C386">
        <f>_xlfn.FORECAST.ETS(A386,$B$2:$B$366,$A$2:$A$366,1,1)</f>
        <v>33.660709394203423</v>
      </c>
      <c r="D386" s="2">
        <f>C386-_xlfn.FORECAST.ETS.CONFINT(A386,$B$2:$B$366,$A$2:$A$366,0.95,1,1)</f>
        <v>-42.632116998116373</v>
      </c>
      <c r="E386" s="2">
        <f>C386+_xlfn.FORECAST.ETS.CONFINT(A386,$B$2:$B$366,$A$2:$A$366,0.95,1,1)</f>
        <v>109.95353578652322</v>
      </c>
    </row>
    <row r="387" spans="1:5" x14ac:dyDescent="0.25">
      <c r="A387" s="1">
        <v>45312</v>
      </c>
      <c r="C387">
        <f>_xlfn.FORECAST.ETS(A387,$B$2:$B$366,$A$2:$A$366,1,1)</f>
        <v>28.580427567043433</v>
      </c>
      <c r="D387" s="2">
        <f>C387-_xlfn.FORECAST.ETS.CONFINT(A387,$B$2:$B$366,$A$2:$A$366,0.95,1,1)</f>
        <v>-48.750147125206936</v>
      </c>
      <c r="E387" s="2">
        <f>C387+_xlfn.FORECAST.ETS.CONFINT(A387,$B$2:$B$366,$A$2:$A$366,0.95,1,1)</f>
        <v>105.9110022592938</v>
      </c>
    </row>
    <row r="388" spans="1:5" x14ac:dyDescent="0.25">
      <c r="A388" s="1">
        <v>45313</v>
      </c>
      <c r="C388">
        <f>_xlfn.FORECAST.ETS(A388,$B$2:$B$366,$A$2:$A$366,1,1)</f>
        <v>43.071166900543886</v>
      </c>
      <c r="D388" s="2">
        <f>C388-_xlfn.FORECAST.ETS.CONFINT(A388,$B$2:$B$366,$A$2:$A$366,0.95,1,1)</f>
        <v>-37.993707166488107</v>
      </c>
      <c r="E388" s="2">
        <f>C388+_xlfn.FORECAST.ETS.CONFINT(A388,$B$2:$B$366,$A$2:$A$366,0.95,1,1)</f>
        <v>124.13604096757588</v>
      </c>
    </row>
    <row r="389" spans="1:5" x14ac:dyDescent="0.25">
      <c r="A389" s="1">
        <v>45314</v>
      </c>
      <c r="C389">
        <f>_xlfn.FORECAST.ETS(A389,$B$2:$B$366,$A$2:$A$366,1,1)</f>
        <v>59.141909457571813</v>
      </c>
      <c r="D389" s="2">
        <f>C389-_xlfn.FORECAST.ETS.CONFINT(A389,$B$2:$B$366,$A$2:$A$366,0.95,1,1)</f>
        <v>-22.914766153423287</v>
      </c>
      <c r="E389" s="2">
        <f>C389+_xlfn.FORECAST.ETS.CONFINT(A389,$B$2:$B$366,$A$2:$A$366,0.95,1,1)</f>
        <v>141.1985850685669</v>
      </c>
    </row>
    <row r="390" spans="1:5" x14ac:dyDescent="0.25">
      <c r="A390" s="1">
        <v>45315</v>
      </c>
      <c r="C390">
        <f>_xlfn.FORECAST.ETS(A390,$B$2:$B$366,$A$2:$A$366,1,1)</f>
        <v>78.005491446301605</v>
      </c>
      <c r="D390" s="2">
        <f>C390-_xlfn.FORECAST.ETS.CONFINT(A390,$B$2:$B$366,$A$2:$A$366,0.95,1,1)</f>
        <v>-5.0382898993070029</v>
      </c>
      <c r="E390" s="2">
        <f>C390+_xlfn.FORECAST.ETS.CONFINT(A390,$B$2:$B$366,$A$2:$A$366,0.95,1,1)</f>
        <v>161.0492727919102</v>
      </c>
    </row>
    <row r="391" spans="1:5" x14ac:dyDescent="0.25">
      <c r="A391" s="1">
        <v>45316</v>
      </c>
      <c r="C391">
        <f>_xlfn.FORECAST.ETS(A391,$B$2:$B$366,$A$2:$A$366,1,1)</f>
        <v>61.716330176410985</v>
      </c>
      <c r="D391" s="2">
        <f>C391-_xlfn.FORECAST.ETS.CONFINT(A391,$B$2:$B$366,$A$2:$A$366,0.95,1,1)</f>
        <v>-22.310052421921888</v>
      </c>
      <c r="E391" s="2">
        <f>C391+_xlfn.FORECAST.ETS.CONFINT(A391,$B$2:$B$366,$A$2:$A$366,0.95,1,1)</f>
        <v>145.74271277474386</v>
      </c>
    </row>
    <row r="392" spans="1:5" x14ac:dyDescent="0.25">
      <c r="A392" s="1">
        <v>45317</v>
      </c>
      <c r="C392">
        <f>_xlfn.FORECAST.ETS(A392,$B$2:$B$366,$A$2:$A$366,1,1)</f>
        <v>67.190148002655718</v>
      </c>
      <c r="D392" s="2">
        <f>C392-_xlfn.FORECAST.ETS.CONFINT(A392,$B$2:$B$366,$A$2:$A$366,0.95,1,1)</f>
        <v>-17.814513110666326</v>
      </c>
      <c r="E392" s="2">
        <f>C392+_xlfn.FORECAST.ETS.CONFINT(A392,$B$2:$B$366,$A$2:$A$366,0.95,1,1)</f>
        <v>152.19480911597776</v>
      </c>
    </row>
    <row r="393" spans="1:5" x14ac:dyDescent="0.25">
      <c r="A393" s="1">
        <v>45318</v>
      </c>
      <c r="C393">
        <f>_xlfn.FORECAST.ETS(A393,$B$2:$B$366,$A$2:$A$366,1,1)</f>
        <v>33.187518583217894</v>
      </c>
      <c r="D393" s="2">
        <f>C393-_xlfn.FORECAST.ETS.CONFINT(A393,$B$2:$B$366,$A$2:$A$366,0.95,1,1)</f>
        <v>-52.791271109213312</v>
      </c>
      <c r="E393" s="2">
        <f>C393+_xlfn.FORECAST.ETS.CONFINT(A393,$B$2:$B$366,$A$2:$A$366,0.95,1,1)</f>
        <v>119.1663082756491</v>
      </c>
    </row>
    <row r="394" spans="1:5" x14ac:dyDescent="0.25">
      <c r="A394" s="1">
        <v>45319</v>
      </c>
      <c r="C394">
        <f>_xlfn.FORECAST.ETS(A394,$B$2:$B$366,$A$2:$A$366,1,1)</f>
        <v>28.107236756057912</v>
      </c>
      <c r="D394" s="2">
        <f>C394-_xlfn.FORECAST.ETS.CONFINT(A394,$B$2:$B$366,$A$2:$A$366,0.95,1,1)</f>
        <v>-58.841696026497473</v>
      </c>
      <c r="E394" s="2">
        <f>C394+_xlfn.FORECAST.ETS.CONFINT(A394,$B$2:$B$366,$A$2:$A$366,0.95,1,1)</f>
        <v>115.0561695386133</v>
      </c>
    </row>
    <row r="395" spans="1:5" x14ac:dyDescent="0.25">
      <c r="A395" s="1">
        <v>45320</v>
      </c>
      <c r="C395">
        <f>_xlfn.FORECAST.ETS(A395,$B$2:$B$366,$A$2:$A$366,1,1)</f>
        <v>42.597976089558372</v>
      </c>
      <c r="D395" s="2">
        <f>C395-_xlfn.FORECAST.ETS.CONFINT(A395,$B$2:$B$366,$A$2:$A$366,0.95,1,1)</f>
        <v>-47.776706108313434</v>
      </c>
      <c r="E395" s="2">
        <f>C395+_xlfn.FORECAST.ETS.CONFINT(A395,$B$2:$B$366,$A$2:$A$366,0.95,1,1)</f>
        <v>132.97265828743019</v>
      </c>
    </row>
    <row r="396" spans="1:5" x14ac:dyDescent="0.25">
      <c r="A396" s="1">
        <v>45321</v>
      </c>
      <c r="C396">
        <f>_xlfn.FORECAST.ETS(A396,$B$2:$B$366,$A$2:$A$366,1,1)</f>
        <v>58.668718646586285</v>
      </c>
      <c r="D396" s="2">
        <f>C396-_xlfn.FORECAST.ETS.CONFINT(A396,$B$2:$B$366,$A$2:$A$366,0.95,1,1)</f>
        <v>-32.642673742740726</v>
      </c>
      <c r="E396" s="2">
        <f>C396+_xlfn.FORECAST.ETS.CONFINT(A396,$B$2:$B$366,$A$2:$A$366,0.95,1,1)</f>
        <v>149.9801110359133</v>
      </c>
    </row>
    <row r="397" spans="1:5" x14ac:dyDescent="0.25">
      <c r="A397" s="1">
        <v>45322</v>
      </c>
      <c r="C397">
        <f>_xlfn.FORECAST.ETS(A397,$B$2:$B$366,$A$2:$A$366,1,1)</f>
        <v>77.532300635316076</v>
      </c>
      <c r="D397" s="2">
        <f>C397-_xlfn.FORECAST.ETS.CONFINT(A397,$B$2:$B$366,$A$2:$A$366,0.95,1,1)</f>
        <v>-14.71289095419084</v>
      </c>
      <c r="E397" s="2">
        <f>C397+_xlfn.FORECAST.ETS.CONFINT(A397,$B$2:$B$366,$A$2:$A$366,0.95,1,1)</f>
        <v>169.77749222482299</v>
      </c>
    </row>
    <row r="398" spans="1:5" x14ac:dyDescent="0.25">
      <c r="A398" s="1">
        <v>45323</v>
      </c>
      <c r="C398">
        <f>_xlfn.FORECAST.ETS(A398,$B$2:$B$366,$A$2:$A$366,1,1)</f>
        <v>61.243139365425456</v>
      </c>
      <c r="D398" s="2">
        <f>C398-_xlfn.FORECAST.ETS.CONFINT(A398,$B$2:$B$366,$A$2:$A$366,0.95,1,1)</f>
        <v>-31.933051251051445</v>
      </c>
      <c r="E398" s="2">
        <f>C398+_xlfn.FORECAST.ETS.CONFINT(A398,$B$2:$B$366,$A$2:$A$366,0.95,1,1)</f>
        <v>154.41932998190237</v>
      </c>
    </row>
    <row r="399" spans="1:5" x14ac:dyDescent="0.25">
      <c r="A399" s="1">
        <v>45324</v>
      </c>
      <c r="C399">
        <f>_xlfn.FORECAST.ETS(A399,$B$2:$B$366,$A$2:$A$366,1,1)</f>
        <v>66.716957191670204</v>
      </c>
      <c r="D399" s="2">
        <f>C399-_xlfn.FORECAST.ETS.CONFINT(A399,$B$2:$B$366,$A$2:$A$366,0.95,1,1)</f>
        <v>-27.387538454538941</v>
      </c>
      <c r="E399" s="2">
        <f>C399+_xlfn.FORECAST.ETS.CONFINT(A399,$B$2:$B$366,$A$2:$A$366,0.95,1,1)</f>
        <v>160.82145283787935</v>
      </c>
    </row>
    <row r="400" spans="1:5" x14ac:dyDescent="0.25">
      <c r="A400" s="1">
        <v>45325</v>
      </c>
      <c r="C400">
        <f>_xlfn.FORECAST.ETS(A400,$B$2:$B$366,$A$2:$A$366,1,1)</f>
        <v>32.714327772232373</v>
      </c>
      <c r="D400" s="2">
        <f>C400-_xlfn.FORECAST.ETS.CONFINT(A400,$B$2:$B$366,$A$2:$A$366,0.95,1,1)</f>
        <v>-62.315880698459019</v>
      </c>
      <c r="E400" s="2">
        <f>C400+_xlfn.FORECAST.ETS.CONFINT(A400,$B$2:$B$366,$A$2:$A$366,0.95,1,1)</f>
        <v>127.74453624292377</v>
      </c>
    </row>
    <row r="401" spans="1:5" x14ac:dyDescent="0.25">
      <c r="A401" s="1">
        <v>45326</v>
      </c>
      <c r="C401">
        <f>_xlfn.FORECAST.ETS(A401,$B$2:$B$366,$A$2:$A$366,1,1)</f>
        <v>27.634045945072383</v>
      </c>
      <c r="D401" s="2">
        <f>C401-_xlfn.FORECAST.ETS.CONFINT(A401,$B$2:$B$366,$A$2:$A$366,0.95,1,1)</f>
        <v>-68.319380792982059</v>
      </c>
      <c r="E401" s="2">
        <f>C401+_xlfn.FORECAST.ETS.CONFINT(A401,$B$2:$B$366,$A$2:$A$366,0.95,1,1)</f>
        <v>123.58747268312683</v>
      </c>
    </row>
    <row r="402" spans="1:5" x14ac:dyDescent="0.25">
      <c r="A402" s="1">
        <v>45327</v>
      </c>
      <c r="C402">
        <f>_xlfn.FORECAST.ETS(A402,$B$2:$B$366,$A$2:$A$366,1,1)</f>
        <v>42.124785278572844</v>
      </c>
      <c r="D402" s="2">
        <f>C402-_xlfn.FORECAST.ETS.CONFINT(A402,$B$2:$B$366,$A$2:$A$366,0.95,1,1)</f>
        <v>-57.025148418753744</v>
      </c>
      <c r="E402" s="2">
        <f>C402+_xlfn.FORECAST.ETS.CONFINT(A402,$B$2:$B$366,$A$2:$A$366,0.95,1,1)</f>
        <v>141.27471897589942</v>
      </c>
    </row>
    <row r="403" spans="1:5" x14ac:dyDescent="0.25">
      <c r="A403" s="1">
        <v>45328</v>
      </c>
      <c r="C403">
        <f>_xlfn.FORECAST.ETS(A403,$B$2:$B$366,$A$2:$A$366,1,1)</f>
        <v>58.195527835600757</v>
      </c>
      <c r="D403" s="2">
        <f>C403-_xlfn.FORECAST.ETS.CONFINT(A403,$B$2:$B$366,$A$2:$A$366,0.95,1,1)</f>
        <v>-41.852022243247845</v>
      </c>
      <c r="E403" s="2">
        <f>C403+_xlfn.FORECAST.ETS.CONFINT(A403,$B$2:$B$366,$A$2:$A$366,0.95,1,1)</f>
        <v>158.24307791444937</v>
      </c>
    </row>
    <row r="404" spans="1:5" x14ac:dyDescent="0.25">
      <c r="A404" s="1">
        <v>45329</v>
      </c>
      <c r="C404">
        <f>_xlfn.FORECAST.ETS(A404,$B$2:$B$366,$A$2:$A$366,1,1)</f>
        <v>77.059109824330548</v>
      </c>
      <c r="D404" s="2">
        <f>C404-_xlfn.FORECAST.ETS.CONFINT(A404,$B$2:$B$366,$A$2:$A$366,0.95,1,1)</f>
        <v>-23.884257394828822</v>
      </c>
      <c r="E404" s="2">
        <f>C404+_xlfn.FORECAST.ETS.CONFINT(A404,$B$2:$B$366,$A$2:$A$366,0.95,1,1)</f>
        <v>178.00247704348993</v>
      </c>
    </row>
    <row r="405" spans="1:5" x14ac:dyDescent="0.25">
      <c r="A405" s="1">
        <v>45330</v>
      </c>
      <c r="C405">
        <f>_xlfn.FORECAST.ETS(A405,$B$2:$B$366,$A$2:$A$366,1,1)</f>
        <v>60.769948554439935</v>
      </c>
      <c r="D405" s="2">
        <f>C405-_xlfn.FORECAST.ETS.CONFINT(A405,$B$2:$B$366,$A$2:$A$366,0.95,1,1)</f>
        <v>-41.067505361010234</v>
      </c>
      <c r="E405" s="2">
        <f>C405+_xlfn.FORECAST.ETS.CONFINT(A405,$B$2:$B$366,$A$2:$A$366,0.95,1,1)</f>
        <v>162.6074024698901</v>
      </c>
    </row>
    <row r="406" spans="1:5" x14ac:dyDescent="0.25">
      <c r="A406" s="1">
        <v>45331</v>
      </c>
      <c r="C406">
        <f>_xlfn.FORECAST.ETS(A406,$B$2:$B$366,$A$2:$A$366,1,1)</f>
        <v>66.243766380684676</v>
      </c>
      <c r="D406" s="2">
        <f>C406-_xlfn.FORECAST.ETS.CONFINT(A406,$B$2:$B$366,$A$2:$A$366,0.95,1,1)</f>
        <v>-36.486110099373434</v>
      </c>
      <c r="E406" s="2">
        <f>C406+_xlfn.FORECAST.ETS.CONFINT(A406,$B$2:$B$366,$A$2:$A$366,0.95,1,1)</f>
        <v>168.97364286074279</v>
      </c>
    </row>
    <row r="407" spans="1:5" x14ac:dyDescent="0.25">
      <c r="A407" s="1">
        <v>45332</v>
      </c>
      <c r="C407">
        <f>_xlfn.FORECAST.ETS(A407,$B$2:$B$366,$A$2:$A$366,1,1)</f>
        <v>32.241136961246852</v>
      </c>
      <c r="D407" s="2">
        <f>C407-_xlfn.FORECAST.ETS.CONFINT(A407,$B$2:$B$366,$A$2:$A$366,0.95,1,1)</f>
        <v>-71.379561897291424</v>
      </c>
      <c r="E407" s="2">
        <f>C407+_xlfn.FORECAST.ETS.CONFINT(A407,$B$2:$B$366,$A$2:$A$366,0.95,1,1)</f>
        <v>135.86183581978514</v>
      </c>
    </row>
    <row r="408" spans="1:5" x14ac:dyDescent="0.25">
      <c r="A408" s="1">
        <v>45333</v>
      </c>
      <c r="C408">
        <f>_xlfn.FORECAST.ETS(A408,$B$2:$B$366,$A$2:$A$366,1,1)</f>
        <v>27.160855134086862</v>
      </c>
      <c r="D408" s="2">
        <f>C408-_xlfn.FORECAST.ETS.CONFINT(A408,$B$2:$B$366,$A$2:$A$366,0.95,1,1)</f>
        <v>-77.349127606621821</v>
      </c>
      <c r="E408" s="2">
        <f>C408+_xlfn.FORECAST.ETS.CONFINT(A408,$B$2:$B$366,$A$2:$A$366,0.95,1,1)</f>
        <v>131.67083787479555</v>
      </c>
    </row>
    <row r="409" spans="1:5" x14ac:dyDescent="0.25">
      <c r="A409" s="1">
        <v>45334</v>
      </c>
      <c r="C409">
        <f>_xlfn.FORECAST.ETS(A409,$B$2:$B$366,$A$2:$A$366,1,1)</f>
        <v>41.651594467587316</v>
      </c>
      <c r="D409" s="2">
        <f>C409-_xlfn.FORECAST.ETS.CONFINT(A409,$B$2:$B$366,$A$2:$A$366,0.95,1,1)</f>
        <v>-65.876920145688757</v>
      </c>
      <c r="E409" s="2">
        <f>C409+_xlfn.FORECAST.ETS.CONFINT(A409,$B$2:$B$366,$A$2:$A$366,0.95,1,1)</f>
        <v>149.18010908086339</v>
      </c>
    </row>
    <row r="410" spans="1:5" x14ac:dyDescent="0.25">
      <c r="A410" s="1">
        <v>45335</v>
      </c>
      <c r="C410">
        <f>_xlfn.FORECAST.ETS(A410,$B$2:$B$366,$A$2:$A$366,1,1)</f>
        <v>57.722337024615243</v>
      </c>
      <c r="D410" s="2">
        <f>C410-_xlfn.FORECAST.ETS.CONFINT(A410,$B$2:$B$366,$A$2:$A$366,0.95,1,1)</f>
        <v>-50.675139147176949</v>
      </c>
      <c r="E410" s="2">
        <f>C410+_xlfn.FORECAST.ETS.CONFINT(A410,$B$2:$B$366,$A$2:$A$366,0.95,1,1)</f>
        <v>166.11981319640745</v>
      </c>
    </row>
    <row r="411" spans="1:5" x14ac:dyDescent="0.25">
      <c r="A411" s="1">
        <v>45336</v>
      </c>
      <c r="C411">
        <f>_xlfn.FORECAST.ETS(A411,$B$2:$B$366,$A$2:$A$366,1,1)</f>
        <v>76.585919013345034</v>
      </c>
      <c r="D411" s="2">
        <f>C411-_xlfn.FORECAST.ETS.CONFINT(A411,$B$2:$B$366,$A$2:$A$366,0.95,1,1)</f>
        <v>-32.679458854618687</v>
      </c>
      <c r="E411" s="2">
        <f>C411+_xlfn.FORECAST.ETS.CONFINT(A411,$B$2:$B$366,$A$2:$A$366,0.95,1,1)</f>
        <v>185.85129688130877</v>
      </c>
    </row>
    <row r="412" spans="1:5" x14ac:dyDescent="0.25">
      <c r="A412" s="1">
        <v>45337</v>
      </c>
      <c r="C412">
        <f>_xlfn.FORECAST.ETS(A412,$B$2:$B$366,$A$2:$A$366,1,1)</f>
        <v>60.296757743454414</v>
      </c>
      <c r="D412" s="2">
        <f>C412-_xlfn.FORECAST.ETS.CONFINT(A412,$B$2:$B$366,$A$2:$A$366,0.95,1,1)</f>
        <v>-49.835506725644684</v>
      </c>
      <c r="E412" s="2">
        <f>C412+_xlfn.FORECAST.ETS.CONFINT(A412,$B$2:$B$366,$A$2:$A$366,0.95,1,1)</f>
        <v>170.42902221255352</v>
      </c>
    </row>
    <row r="413" spans="1:5" x14ac:dyDescent="0.25">
      <c r="A413" s="1">
        <v>45338</v>
      </c>
      <c r="C413">
        <f>_xlfn.FORECAST.ETS(A413,$B$2:$B$366,$A$2:$A$366,1,1)</f>
        <v>65.770575569699162</v>
      </c>
      <c r="D413" s="2">
        <f>C413-_xlfn.FORECAST.ETS.CONFINT(A413,$B$2:$B$366,$A$2:$A$366,0.95,1,1)</f>
        <v>-45.227603745605293</v>
      </c>
      <c r="E413" s="2">
        <f>C413+_xlfn.FORECAST.ETS.CONFINT(A413,$B$2:$B$366,$A$2:$A$366,0.95,1,1)</f>
        <v>176.7687548850036</v>
      </c>
    </row>
    <row r="414" spans="1:5" x14ac:dyDescent="0.25">
      <c r="A414" s="1">
        <v>45339</v>
      </c>
      <c r="C414">
        <f>_xlfn.FORECAST.ETS(A414,$B$2:$B$366,$A$2:$A$366,1,1)</f>
        <v>31.767946150261324</v>
      </c>
      <c r="D414" s="2">
        <f>C414-_xlfn.FORECAST.ETS.CONFINT(A414,$B$2:$B$366,$A$2:$A$366,0.95,1,1)</f>
        <v>-80.095218228374577</v>
      </c>
      <c r="E414" s="2">
        <f>C414+_xlfn.FORECAST.ETS.CONFINT(A414,$B$2:$B$366,$A$2:$A$366,0.95,1,1)</f>
        <v>143.63111052889724</v>
      </c>
    </row>
    <row r="415" spans="1:5" x14ac:dyDescent="0.25">
      <c r="A415" s="1">
        <v>45340</v>
      </c>
      <c r="C415">
        <f>_xlfn.FORECAST.ETS(A415,$B$2:$B$366,$A$2:$A$366,1,1)</f>
        <v>26.687664323101341</v>
      </c>
      <c r="D415" s="2">
        <f>C415-_xlfn.FORECAST.ETS.CONFINT(A415,$B$2:$B$366,$A$2:$A$366,0.95,1,1)</f>
        <v>-86.039595996084287</v>
      </c>
      <c r="E415" s="2">
        <f>C415+_xlfn.FORECAST.ETS.CONFINT(A415,$B$2:$B$366,$A$2:$A$366,0.95,1,1)</f>
        <v>139.41492464228696</v>
      </c>
    </row>
    <row r="416" spans="1:5" x14ac:dyDescent="0.25">
      <c r="A416" s="1">
        <v>45341</v>
      </c>
      <c r="C416">
        <f>_xlfn.FORECAST.ETS(A416,$B$2:$B$366,$A$2:$A$366,1,1)</f>
        <v>41.178403656601802</v>
      </c>
      <c r="D416" s="2">
        <f>C416-_xlfn.FORECAST.ETS.CONFINT(A416,$B$2:$B$366,$A$2:$A$366,0.95,1,1)</f>
        <v>-74.424747808252761</v>
      </c>
      <c r="E416" s="2">
        <f>C416+_xlfn.FORECAST.ETS.CONFINT(A416,$B$2:$B$366,$A$2:$A$366,0.95,1,1)</f>
        <v>156.78155512145636</v>
      </c>
    </row>
    <row r="417" spans="1:5" x14ac:dyDescent="0.25">
      <c r="A417" s="1">
        <v>45342</v>
      </c>
      <c r="C417">
        <f>_xlfn.FORECAST.ETS(A417,$B$2:$B$366,$A$2:$A$366,1,1)</f>
        <v>57.249146213629714</v>
      </c>
      <c r="D417" s="2">
        <f>C417-_xlfn.FORECAST.ETS.CONFINT(A417,$B$2:$B$366,$A$2:$A$366,0.95,1,1)</f>
        <v>-59.20153523118303</v>
      </c>
      <c r="E417" s="2">
        <f>C417+_xlfn.FORECAST.ETS.CONFINT(A417,$B$2:$B$366,$A$2:$A$366,0.95,1,1)</f>
        <v>173.69982765844247</v>
      </c>
    </row>
    <row r="418" spans="1:5" x14ac:dyDescent="0.25">
      <c r="A418" s="1">
        <v>45343</v>
      </c>
      <c r="C418">
        <f>_xlfn.FORECAST.ETS(A418,$B$2:$B$366,$A$2:$A$366,1,1)</f>
        <v>76.112728202359506</v>
      </c>
      <c r="D418" s="2">
        <f>C418-_xlfn.FORECAST.ETS.CONFINT(A418,$B$2:$B$366,$A$2:$A$366,0.95,1,1)</f>
        <v>-41.184939100214436</v>
      </c>
      <c r="E418" s="2">
        <f>C418+_xlfn.FORECAST.ETS.CONFINT(A418,$B$2:$B$366,$A$2:$A$366,0.95,1,1)</f>
        <v>193.41039550493343</v>
      </c>
    </row>
    <row r="419" spans="1:5" x14ac:dyDescent="0.25">
      <c r="A419" s="1">
        <v>45344</v>
      </c>
      <c r="C419">
        <f>_xlfn.FORECAST.ETS(A419,$B$2:$B$366,$A$2:$A$366,1,1)</f>
        <v>59.823566932468886</v>
      </c>
      <c r="D419" s="2">
        <f>C419-_xlfn.FORECAST.ETS.CONFINT(A419,$B$2:$B$366,$A$2:$A$366,0.95,1,1)</f>
        <v>-58.320572182040173</v>
      </c>
      <c r="E419" s="2">
        <f>C419+_xlfn.FORECAST.ETS.CONFINT(A419,$B$2:$B$366,$A$2:$A$366,0.95,1,1)</f>
        <v>177.96770604697795</v>
      </c>
    </row>
    <row r="420" spans="1:5" x14ac:dyDescent="0.25">
      <c r="A420" s="1">
        <v>45345</v>
      </c>
      <c r="C420">
        <f>_xlfn.FORECAST.ETS(A420,$B$2:$B$366,$A$2:$A$366,1,1)</f>
        <v>65.297384758713633</v>
      </c>
      <c r="D420" s="2">
        <f>C420-_xlfn.FORECAST.ETS.CONFINT(A420,$B$2:$B$366,$A$2:$A$366,0.95,1,1)</f>
        <v>-53.692741335516715</v>
      </c>
      <c r="E420" s="2">
        <f>C420+_xlfn.FORECAST.ETS.CONFINT(A420,$B$2:$B$366,$A$2:$A$366,0.95,1,1)</f>
        <v>184.28751085294397</v>
      </c>
    </row>
    <row r="421" spans="1:5" x14ac:dyDescent="0.25">
      <c r="A421" s="1">
        <v>45346</v>
      </c>
      <c r="C421">
        <f>_xlfn.FORECAST.ETS(A421,$B$2:$B$366,$A$2:$A$366,1,1)</f>
        <v>31.294755339275802</v>
      </c>
      <c r="D421" s="2">
        <f>C421-_xlfn.FORECAST.ETS.CONFINT(A421,$B$2:$B$366,$A$2:$A$366,0.95,1,1)</f>
        <v>-88.540901285005134</v>
      </c>
      <c r="E421" s="2">
        <f>C421+_xlfn.FORECAST.ETS.CONFINT(A421,$B$2:$B$366,$A$2:$A$366,0.95,1,1)</f>
        <v>151.13041196355675</v>
      </c>
    </row>
    <row r="422" spans="1:5" x14ac:dyDescent="0.25">
      <c r="A422" s="1">
        <v>45347</v>
      </c>
      <c r="C422">
        <f>_xlfn.FORECAST.ETS(A422,$B$2:$B$366,$A$2:$A$366,1,1)</f>
        <v>26.214473512115813</v>
      </c>
      <c r="D422" s="2">
        <f>C422-_xlfn.FORECAST.ETS.CONFINT(A422,$B$2:$B$366,$A$2:$A$366,0.95,1,1)</f>
        <v>-94.466284774256451</v>
      </c>
      <c r="E422" s="2">
        <f>C422+_xlfn.FORECAST.ETS.CONFINT(A422,$B$2:$B$366,$A$2:$A$366,0.95,1,1)</f>
        <v>146.89523179848808</v>
      </c>
    </row>
    <row r="423" spans="1:5" x14ac:dyDescent="0.25">
      <c r="A423" s="1">
        <v>45348</v>
      </c>
      <c r="C423">
        <f>_xlfn.FORECAST.ETS(A423,$B$2:$B$366,$A$2:$A$366,1,1)</f>
        <v>40.705212845616273</v>
      </c>
      <c r="D423" s="2">
        <f>C423-_xlfn.FORECAST.ETS.CONFINT(A423,$B$2:$B$366,$A$2:$A$366,0.95,1,1)</f>
        <v>-82.734327056191418</v>
      </c>
      <c r="E423" s="2">
        <f>C423+_xlfn.FORECAST.ETS.CONFINT(A423,$B$2:$B$366,$A$2:$A$366,0.95,1,1)</f>
        <v>164.14475274742398</v>
      </c>
    </row>
    <row r="424" spans="1:5" x14ac:dyDescent="0.25">
      <c r="A424" s="1">
        <v>45349</v>
      </c>
      <c r="C424">
        <f>_xlfn.FORECAST.ETS(A424,$B$2:$B$366,$A$2:$A$366,1,1)</f>
        <v>56.775955402644186</v>
      </c>
      <c r="D424" s="2">
        <f>C424-_xlfn.FORECAST.ETS.CONFINT(A424,$B$2:$B$366,$A$2:$A$366,0.95,1,1)</f>
        <v>-67.494904095472549</v>
      </c>
      <c r="E424" s="2">
        <f>C424+_xlfn.FORECAST.ETS.CONFINT(A424,$B$2:$B$366,$A$2:$A$366,0.95,1,1)</f>
        <v>181.04681490076092</v>
      </c>
    </row>
    <row r="425" spans="1:5" x14ac:dyDescent="0.25">
      <c r="A425" s="1">
        <v>45350</v>
      </c>
      <c r="C425">
        <f>_xlfn.FORECAST.ETS(A425,$B$2:$B$366,$A$2:$A$366,1,1)</f>
        <v>75.639537391373977</v>
      </c>
      <c r="D425" s="2">
        <f>C425-_xlfn.FORECAST.ETS.CONFINT(A425,$B$2:$B$366,$A$2:$A$366,0.95,1,1)</f>
        <v>-49.462470528208655</v>
      </c>
      <c r="E425" s="2">
        <f>C425+_xlfn.FORECAST.ETS.CONFINT(A425,$B$2:$B$366,$A$2:$A$366,0.95,1,1)</f>
        <v>200.74154531095661</v>
      </c>
    </row>
    <row r="426" spans="1:5" x14ac:dyDescent="0.25">
      <c r="A426" s="1">
        <v>45351</v>
      </c>
      <c r="C426">
        <f>_xlfn.FORECAST.ETS(A426,$B$2:$B$366,$A$2:$A$366,1,1)</f>
        <v>59.350376121483364</v>
      </c>
      <c r="D426" s="2">
        <f>C426-_xlfn.FORECAST.ETS.CONFINT(A426,$B$2:$B$366,$A$2:$A$366,0.95,1,1)</f>
        <v>-66.582629671327183</v>
      </c>
      <c r="E426" s="2">
        <f>C426+_xlfn.FORECAST.ETS.CONFINT(A426,$B$2:$B$366,$A$2:$A$366,0.95,1,1)</f>
        <v>185.2833819142939</v>
      </c>
    </row>
    <row r="427" spans="1:5" x14ac:dyDescent="0.25">
      <c r="A427" s="1">
        <v>45352</v>
      </c>
      <c r="C427">
        <f>_xlfn.FORECAST.ETS(A427,$B$2:$B$366,$A$2:$A$366,1,1)</f>
        <v>64.824193947728105</v>
      </c>
      <c r="D427" s="2">
        <f>C427-_xlfn.FORECAST.ETS.CONFINT(A427,$B$2:$B$366,$A$2:$A$366,0.95,1,1)</f>
        <v>-61.939679255219701</v>
      </c>
      <c r="E427" s="2">
        <f>C427+_xlfn.FORECAST.ETS.CONFINT(A427,$B$2:$B$366,$A$2:$A$366,0.95,1,1)</f>
        <v>191.5880671506759</v>
      </c>
    </row>
    <row r="428" spans="1:5" x14ac:dyDescent="0.25">
      <c r="A428" s="1">
        <v>45353</v>
      </c>
      <c r="C428">
        <f>_xlfn.FORECAST.ETS(A428,$B$2:$B$366,$A$2:$A$366,1,1)</f>
        <v>30.821564528290281</v>
      </c>
      <c r="D428" s="2">
        <f>C428-_xlfn.FORECAST.ETS.CONFINT(A428,$B$2:$B$366,$A$2:$A$366,0.95,1,1)</f>
        <v>-96.773065183247311</v>
      </c>
      <c r="E428" s="2">
        <f>C428+_xlfn.FORECAST.ETS.CONFINT(A428,$B$2:$B$366,$A$2:$A$366,0.95,1,1)</f>
        <v>158.41619423982786</v>
      </c>
    </row>
    <row r="429" spans="1:5" x14ac:dyDescent="0.25">
      <c r="A429" s="1">
        <v>45354</v>
      </c>
      <c r="C429">
        <f>_xlfn.FORECAST.ETS(A429,$B$2:$B$366,$A$2:$A$366,1,1)</f>
        <v>25.741282701130292</v>
      </c>
      <c r="D429" s="2">
        <f>C429-_xlfn.FORECAST.ETS.CONFINT(A429,$B$2:$B$366,$A$2:$A$366,0.95,1,1)</f>
        <v>-102.68401167251049</v>
      </c>
      <c r="E429" s="2">
        <f>C429+_xlfn.FORECAST.ETS.CONFINT(A429,$B$2:$B$366,$A$2:$A$366,0.95,1,1)</f>
        <v>154.16657707477108</v>
      </c>
    </row>
    <row r="430" spans="1:5" x14ac:dyDescent="0.25">
      <c r="A430" s="1">
        <v>45355</v>
      </c>
      <c r="C430">
        <f>_xlfn.FORECAST.ETS(A430,$B$2:$B$366,$A$2:$A$366,1,1)</f>
        <v>40.232022034630745</v>
      </c>
      <c r="D430" s="2">
        <f>C430-_xlfn.FORECAST.ETS.CONFINT(A430,$B$2:$B$366,$A$2:$A$366,0.95,1,1)</f>
        <v>-90.854074637018982</v>
      </c>
      <c r="E430" s="2">
        <f>C430+_xlfn.FORECAST.ETS.CONFINT(A430,$B$2:$B$366,$A$2:$A$366,0.95,1,1)</f>
        <v>171.31811870628047</v>
      </c>
    </row>
    <row r="431" spans="1:5" x14ac:dyDescent="0.25">
      <c r="A431" s="1">
        <v>45356</v>
      </c>
      <c r="C431">
        <f>_xlfn.FORECAST.ETS(A431,$B$2:$B$366,$A$2:$A$366,1,1)</f>
        <v>56.302764591658672</v>
      </c>
      <c r="D431" s="2">
        <f>C431-_xlfn.FORECAST.ETS.CONFINT(A431,$B$2:$B$366,$A$2:$A$366,0.95,1,1)</f>
        <v>-75.602344910257472</v>
      </c>
      <c r="E431" s="2">
        <f>C431+_xlfn.FORECAST.ETS.CONFINT(A431,$B$2:$B$366,$A$2:$A$366,0.95,1,1)</f>
        <v>188.20787409357482</v>
      </c>
    </row>
    <row r="432" spans="1:5" x14ac:dyDescent="0.25">
      <c r="A432" s="1">
        <v>45357</v>
      </c>
      <c r="C432">
        <f>_xlfn.FORECAST.ETS(A432,$B$2:$B$366,$A$2:$A$366,1,1)</f>
        <v>75.166346580388463</v>
      </c>
      <c r="D432" s="2">
        <f>C432-_xlfn.FORECAST.ETS.CONFINT(A432,$B$2:$B$366,$A$2:$A$366,0.95,1,1)</f>
        <v>-57.557881920917382</v>
      </c>
      <c r="E432" s="2">
        <f>C432+_xlfn.FORECAST.ETS.CONFINT(A432,$B$2:$B$366,$A$2:$A$366,0.95,1,1)</f>
        <v>207.89057508169429</v>
      </c>
    </row>
    <row r="433" spans="1:5" x14ac:dyDescent="0.25">
      <c r="A433" s="1">
        <v>45358</v>
      </c>
      <c r="C433">
        <f>_xlfn.FORECAST.ETS(A433,$B$2:$B$366,$A$2:$A$366,1,1)</f>
        <v>58.877185310497843</v>
      </c>
      <c r="D433" s="2">
        <f>C433-_xlfn.FORECAST.ETS.CONFINT(A433,$B$2:$B$366,$A$2:$A$366,0.95,1,1)</f>
        <v>-74.66628266072982</v>
      </c>
      <c r="E433" s="2">
        <f>C433+_xlfn.FORECAST.ETS.CONFINT(A433,$B$2:$B$366,$A$2:$A$366,0.95,1,1)</f>
        <v>192.42065328172552</v>
      </c>
    </row>
    <row r="434" spans="1:5" x14ac:dyDescent="0.25">
      <c r="A434" s="1">
        <v>45359</v>
      </c>
      <c r="C434">
        <f>_xlfn.FORECAST.ETS(A434,$B$2:$B$366,$A$2:$A$366,1,1)</f>
        <v>64.351003136742577</v>
      </c>
      <c r="D434" s="2">
        <f>C434-_xlfn.FORECAST.ETS.CONFINT(A434,$B$2:$B$366,$A$2:$A$366,0.95,1,1)</f>
        <v>-70.011838727252865</v>
      </c>
      <c r="E434" s="2">
        <f>C434+_xlfn.FORECAST.ETS.CONFINT(A434,$B$2:$B$366,$A$2:$A$366,0.95,1,1)</f>
        <v>198.71384500073802</v>
      </c>
    </row>
    <row r="435" spans="1:5" x14ac:dyDescent="0.25">
      <c r="A435" s="1">
        <v>45360</v>
      </c>
      <c r="C435">
        <f>_xlfn.FORECAST.ETS(A435,$B$2:$B$366,$A$2:$A$366,1,1)</f>
        <v>30.348373717304753</v>
      </c>
      <c r="D435" s="2">
        <f>C435-_xlfn.FORECAST.ETS.CONFINT(A435,$B$2:$B$366,$A$2:$A$366,0.95,1,1)</f>
        <v>-104.83399007596964</v>
      </c>
      <c r="E435" s="2">
        <f>C435+_xlfn.FORECAST.ETS.CONFINT(A435,$B$2:$B$366,$A$2:$A$366,0.95,1,1)</f>
        <v>165.53073751057914</v>
      </c>
    </row>
    <row r="436" spans="1:5" x14ac:dyDescent="0.25">
      <c r="A436" s="1">
        <v>45361</v>
      </c>
      <c r="C436">
        <f>_xlfn.FORECAST.ETS(A436,$B$2:$B$366,$A$2:$A$366,1,1)</f>
        <v>25.26809189014477</v>
      </c>
      <c r="D436" s="2">
        <f>C436-_xlfn.FORECAST.ETS.CONFINT(A436,$B$2:$B$366,$A$2:$A$366,0.95,1,1)</f>
        <v>-110.73395515399667</v>
      </c>
      <c r="E436" s="2">
        <f>C436+_xlfn.FORECAST.ETS.CONFINT(A436,$B$2:$B$366,$A$2:$A$366,0.95,1,1)</f>
        <v>161.27013893428622</v>
      </c>
    </row>
    <row r="437" spans="1:5" x14ac:dyDescent="0.25">
      <c r="A437" s="1">
        <v>45362</v>
      </c>
      <c r="C437">
        <f>_xlfn.FORECAST.ETS(A437,$B$2:$B$366,$A$2:$A$366,1,1)</f>
        <v>39.758831223645231</v>
      </c>
      <c r="D437" s="2">
        <f>C437-_xlfn.FORECAST.ETS.CONFINT(A437,$B$2:$B$366,$A$2:$A$366,0.95,1,1)</f>
        <v>-98.820791935401687</v>
      </c>
      <c r="E437" s="2">
        <f>C437+_xlfn.FORECAST.ETS.CONFINT(A437,$B$2:$B$366,$A$2:$A$366,0.95,1,1)</f>
        <v>178.33845438269213</v>
      </c>
    </row>
    <row r="438" spans="1:5" x14ac:dyDescent="0.25">
      <c r="A438" s="1">
        <v>45363</v>
      </c>
      <c r="C438">
        <f>_xlfn.FORECAST.ETS(A438,$B$2:$B$366,$A$2:$A$366,1,1)</f>
        <v>55.829573780673144</v>
      </c>
      <c r="D438" s="2">
        <f>C438-_xlfn.FORECAST.ETS.CONFINT(A438,$B$2:$B$366,$A$2:$A$366,0.95,1,1)</f>
        <v>-83.559753371288792</v>
      </c>
      <c r="E438" s="2">
        <f>C438+_xlfn.FORECAST.ETS.CONFINT(A438,$B$2:$B$366,$A$2:$A$366,0.95,1,1)</f>
        <v>195.21890093263508</v>
      </c>
    </row>
    <row r="439" spans="1:5" x14ac:dyDescent="0.25">
      <c r="A439" s="1">
        <v>45364</v>
      </c>
      <c r="C439">
        <f>_xlfn.FORECAST.ETS(A439,$B$2:$B$366,$A$2:$A$366,1,1)</f>
        <v>74.693155769402935</v>
      </c>
      <c r="D439" s="2">
        <f>C439-_xlfn.FORECAST.ETS.CONFINT(A439,$B$2:$B$366,$A$2:$A$366,0.95,1,1)</f>
        <v>-65.506192409794679</v>
      </c>
      <c r="E439" s="2">
        <f>C439+_xlfn.FORECAST.ETS.CONFINT(A439,$B$2:$B$366,$A$2:$A$366,0.95,1,1)</f>
        <v>214.89250394860056</v>
      </c>
    </row>
    <row r="440" spans="1:5" x14ac:dyDescent="0.25">
      <c r="A440" s="1">
        <v>45365</v>
      </c>
      <c r="C440">
        <f>_xlfn.FORECAST.ETS(A440,$B$2:$B$366,$A$2:$A$366,1,1)</f>
        <v>58.403994499512315</v>
      </c>
      <c r="D440" s="2">
        <f>C440-_xlfn.FORECAST.ETS.CONFINT(A440,$B$2:$B$366,$A$2:$A$366,0.95,1,1)</f>
        <v>-82.605701672060292</v>
      </c>
      <c r="E440" s="2">
        <f>C440+_xlfn.FORECAST.ETS.CONFINT(A440,$B$2:$B$366,$A$2:$A$366,0.95,1,1)</f>
        <v>199.41369067108494</v>
      </c>
    </row>
    <row r="441" spans="1:5" x14ac:dyDescent="0.25">
      <c r="A441" s="1">
        <v>45366</v>
      </c>
      <c r="C441">
        <f>_xlfn.FORECAST.ETS(A441,$B$2:$B$366,$A$2:$A$366,1,1)</f>
        <v>63.877812325757063</v>
      </c>
      <c r="D441" s="2">
        <f>C441-_xlfn.FORECAST.ETS.CONFINT(A441,$B$2:$B$366,$A$2:$A$366,0.95,1,1)</f>
        <v>-77.942568504957265</v>
      </c>
      <c r="E441" s="2">
        <f>C441+_xlfn.FORECAST.ETS.CONFINT(A441,$B$2:$B$366,$A$2:$A$366,0.95,1,1)</f>
        <v>205.6981931564714</v>
      </c>
    </row>
    <row r="442" spans="1:5" x14ac:dyDescent="0.25">
      <c r="A442" s="1">
        <v>45367</v>
      </c>
      <c r="C442">
        <f>_xlfn.FORECAST.ETS(A442,$B$2:$B$366,$A$2:$A$366,1,1)</f>
        <v>29.875182906319232</v>
      </c>
      <c r="D442" s="2">
        <f>C442-_xlfn.FORECAST.ETS.CONFINT(A442,$B$2:$B$366,$A$2:$A$366,0.95,1,1)</f>
        <v>-112.75622872902457</v>
      </c>
      <c r="E442" s="2">
        <f>C442+_xlfn.FORECAST.ETS.CONFINT(A442,$B$2:$B$366,$A$2:$A$366,0.95,1,1)</f>
        <v>172.50659454166302</v>
      </c>
    </row>
    <row r="443" spans="1:5" x14ac:dyDescent="0.25">
      <c r="A443" s="1">
        <v>45368</v>
      </c>
      <c r="C443">
        <f>_xlfn.FORECAST.ETS(A443,$B$2:$B$366,$A$2:$A$366,1,1)</f>
        <v>24.794901079159242</v>
      </c>
      <c r="D443" s="2">
        <f>C443-_xlfn.FORECAST.ETS.CONFINT(A443,$B$2:$B$366,$A$2:$A$366,0.95,1,1)</f>
        <v>-118.64789676819001</v>
      </c>
      <c r="E443" s="2">
        <f>C443+_xlfn.FORECAST.ETS.CONFINT(A443,$B$2:$B$366,$A$2:$A$366,0.95,1,1)</f>
        <v>168.2376989265085</v>
      </c>
    </row>
    <row r="444" spans="1:5" x14ac:dyDescent="0.25">
      <c r="A444" s="1">
        <v>45369</v>
      </c>
      <c r="C444">
        <f>_xlfn.FORECAST.ETS(A444,$B$2:$B$366,$A$2:$A$366,1,1)</f>
        <v>39.285640412659703</v>
      </c>
      <c r="D444" s="2">
        <f>C444-_xlfn.FORECAST.ETS.CONFINT(A444,$B$2:$B$366,$A$2:$A$366,0.95,1,1)</f>
        <v>-106.66315469039351</v>
      </c>
      <c r="E444" s="2">
        <f>C444+_xlfn.FORECAST.ETS.CONFINT(A444,$B$2:$B$366,$A$2:$A$366,0.95,1,1)</f>
        <v>185.2344355157129</v>
      </c>
    </row>
    <row r="445" spans="1:5" x14ac:dyDescent="0.25">
      <c r="A445" s="1">
        <v>45370</v>
      </c>
      <c r="C445">
        <f>_xlfn.FORECAST.ETS(A445,$B$2:$B$366,$A$2:$A$366,1,1)</f>
        <v>55.356382969687616</v>
      </c>
      <c r="D445" s="2">
        <f>C445-_xlfn.FORECAST.ETS.CONFINT(A445,$B$2:$B$366,$A$2:$A$366,0.95,1,1)</f>
        <v>-91.395160435733516</v>
      </c>
      <c r="E445" s="2">
        <f>C445+_xlfn.FORECAST.ETS.CONFINT(A445,$B$2:$B$366,$A$2:$A$366,0.95,1,1)</f>
        <v>202.10792637510875</v>
      </c>
    </row>
    <row r="446" spans="1:5" x14ac:dyDescent="0.25">
      <c r="A446" s="1">
        <v>45371</v>
      </c>
      <c r="C446">
        <f>_xlfn.FORECAST.ETS(A446,$B$2:$B$366,$A$2:$A$366,1,1)</f>
        <v>74.219964958417407</v>
      </c>
      <c r="D446" s="2">
        <f>C446-_xlfn.FORECAST.ETS.CONFINT(A446,$B$2:$B$366,$A$2:$A$366,0.95,1,1)</f>
        <v>-73.334806971555807</v>
      </c>
      <c r="E446" s="2">
        <f>C446+_xlfn.FORECAST.ETS.CONFINT(A446,$B$2:$B$366,$A$2:$A$366,0.95,1,1)</f>
        <v>221.77473688839063</v>
      </c>
    </row>
    <row r="447" spans="1:5" x14ac:dyDescent="0.25">
      <c r="A447" s="1">
        <v>45372</v>
      </c>
      <c r="C447">
        <f>_xlfn.FORECAST.ETS(A447,$B$2:$B$366,$A$2:$A$366,1,1)</f>
        <v>57.930803688526794</v>
      </c>
      <c r="D447" s="2">
        <f>C447-_xlfn.FORECAST.ETS.CONFINT(A447,$B$2:$B$366,$A$2:$A$366,0.95,1,1)</f>
        <v>-90.42768382008444</v>
      </c>
      <c r="E447" s="2">
        <f>C447+_xlfn.FORECAST.ETS.CONFINT(A447,$B$2:$B$366,$A$2:$A$366,0.95,1,1)</f>
        <v>206.28929119713803</v>
      </c>
    </row>
    <row r="448" spans="1:5" x14ac:dyDescent="0.25">
      <c r="A448" s="1">
        <v>45373</v>
      </c>
      <c r="C448">
        <f>_xlfn.FORECAST.ETS(A448,$B$2:$B$366,$A$2:$A$366,1,1)</f>
        <v>63.404621514771534</v>
      </c>
      <c r="D448" s="2">
        <f>C448-_xlfn.FORECAST.ETS.CONFINT(A448,$B$2:$B$366,$A$2:$A$366,0.95,1,1)</f>
        <v>-85.758075306492756</v>
      </c>
      <c r="E448" s="2">
        <f>C448+_xlfn.FORECAST.ETS.CONFINT(A448,$B$2:$B$366,$A$2:$A$366,0.95,1,1)</f>
        <v>212.56731833603584</v>
      </c>
    </row>
    <row r="449" spans="1:5" x14ac:dyDescent="0.25">
      <c r="A449" s="1">
        <v>45374</v>
      </c>
      <c r="C449">
        <f>_xlfn.FORECAST.ETS(A449,$B$2:$B$366,$A$2:$A$366,1,1)</f>
        <v>29.401992095333711</v>
      </c>
      <c r="D449" s="2">
        <f>C449-_xlfn.FORECAST.ETS.CONFINT(A449,$B$2:$B$366,$A$2:$A$366,0.95,1,1)</f>
        <v>-120.56541430440872</v>
      </c>
      <c r="E449" s="2">
        <f>C449+_xlfn.FORECAST.ETS.CONFINT(A449,$B$2:$B$366,$A$2:$A$366,0.95,1,1)</f>
        <v>179.36939849507615</v>
      </c>
    </row>
    <row r="450" spans="1:5" x14ac:dyDescent="0.25">
      <c r="A450" s="1">
        <v>45375</v>
      </c>
      <c r="C450">
        <f>_xlfn.FORECAST.ETS(A450,$B$2:$B$366,$A$2:$A$366,1,1)</f>
        <v>24.321710268173721</v>
      </c>
      <c r="D450" s="2">
        <f>C450-_xlfn.FORECAST.ETS.CONFINT(A450,$B$2:$B$366,$A$2:$A$366,0.95,1,1)</f>
        <v>-126.45091236329802</v>
      </c>
      <c r="E450" s="2">
        <f>C450+_xlfn.FORECAST.ETS.CONFINT(A450,$B$2:$B$366,$A$2:$A$366,0.95,1,1)</f>
        <v>175.09433289964545</v>
      </c>
    </row>
    <row r="451" spans="1:5" x14ac:dyDescent="0.25">
      <c r="A451" s="1">
        <v>45376</v>
      </c>
      <c r="C451">
        <f>_xlfn.FORECAST.ETS(A451,$B$2:$B$366,$A$2:$A$366,1,1)</f>
        <v>38.812449601674174</v>
      </c>
      <c r="D451" s="2">
        <f>C451-_xlfn.FORECAST.ETS.CONFINT(A451,$B$2:$B$366,$A$2:$A$366,0.95,1,1)</f>
        <v>-114.40396724057466</v>
      </c>
      <c r="E451" s="2">
        <f>C451+_xlfn.FORECAST.ETS.CONFINT(A451,$B$2:$B$366,$A$2:$A$366,0.95,1,1)</f>
        <v>192.02886644392299</v>
      </c>
    </row>
    <row r="452" spans="1:5" x14ac:dyDescent="0.25">
      <c r="A452" s="1">
        <v>45377</v>
      </c>
      <c r="C452">
        <f>_xlfn.FORECAST.ETS(A452,$B$2:$B$366,$A$2:$A$366,1,1)</f>
        <v>54.883192158702101</v>
      </c>
      <c r="D452" s="2">
        <f>C452-_xlfn.FORECAST.ETS.CONFINT(A452,$B$2:$B$366,$A$2:$A$366,0.95,1,1)</f>
        <v>-99.130897958670161</v>
      </c>
      <c r="E452" s="2">
        <f>C452+_xlfn.FORECAST.ETS.CONFINT(A452,$B$2:$B$366,$A$2:$A$366,0.95,1,1)</f>
        <v>208.89728227607435</v>
      </c>
    </row>
    <row r="453" spans="1:5" x14ac:dyDescent="0.25">
      <c r="A453" s="1">
        <v>45378</v>
      </c>
      <c r="C453">
        <f>_xlfn.FORECAST.ETS(A453,$B$2:$B$366,$A$2:$A$366,1,1)</f>
        <v>73.746774147431893</v>
      </c>
      <c r="D453" s="2">
        <f>C453-_xlfn.FORECAST.ETS.CONFINT(A453,$B$2:$B$366,$A$2:$A$366,0.95,1,1)</f>
        <v>-81.065597572500053</v>
      </c>
      <c r="E453" s="2">
        <f>C453+_xlfn.FORECAST.ETS.CONFINT(A453,$B$2:$B$366,$A$2:$A$366,0.95,1,1)</f>
        <v>228.55914586736384</v>
      </c>
    </row>
    <row r="454" spans="1:5" x14ac:dyDescent="0.25">
      <c r="A454" s="1">
        <v>45379</v>
      </c>
      <c r="C454">
        <f>_xlfn.FORECAST.ETS(A454,$B$2:$B$366,$A$2:$A$366,1,1)</f>
        <v>57.457612877541273</v>
      </c>
      <c r="D454" s="2">
        <f>C454-_xlfn.FORECAST.ETS.CONFINT(A454,$B$2:$B$366,$A$2:$A$366,0.95,1,1)</f>
        <v>-98.15365336013474</v>
      </c>
      <c r="E454" s="2">
        <f>C454+_xlfn.FORECAST.ETS.CONFINT(A454,$B$2:$B$366,$A$2:$A$366,0.95,1,1)</f>
        <v>213.06887911521727</v>
      </c>
    </row>
    <row r="455" spans="1:5" x14ac:dyDescent="0.25">
      <c r="A455" s="1">
        <v>45380</v>
      </c>
      <c r="C455">
        <f>_xlfn.FORECAST.ETS(A455,$B$2:$B$366,$A$2:$A$366,1,1)</f>
        <v>62.931430703786013</v>
      </c>
      <c r="D455" s="2">
        <f>C455-_xlfn.FORECAST.ETS.CONFINT(A455,$B$2:$B$366,$A$2:$A$366,0.95,1,1)</f>
        <v>-93.479347453666122</v>
      </c>
      <c r="E455" s="2">
        <f>C455+_xlfn.FORECAST.ETS.CONFINT(A455,$B$2:$B$366,$A$2:$A$366,0.95,1,1)</f>
        <v>219.34220886123816</v>
      </c>
    </row>
    <row r="456" spans="1:5" x14ac:dyDescent="0.25">
      <c r="A456" s="1">
        <v>45381</v>
      </c>
      <c r="C456">
        <f>_xlfn.FORECAST.ETS(A456,$B$2:$B$366,$A$2:$A$366,1,1)</f>
        <v>28.928801284348182</v>
      </c>
      <c r="D456" s="2">
        <f>C456-_xlfn.FORECAST.ETS.CONFINT(A456,$B$2:$B$366,$A$2:$A$366,0.95,1,1)</f>
        <v>-128.28211058324763</v>
      </c>
      <c r="E456" s="2">
        <f>C456+_xlfn.FORECAST.ETS.CONFINT(A456,$B$2:$B$366,$A$2:$A$366,0.95,1,1)</f>
        <v>186.13971315194402</v>
      </c>
    </row>
    <row r="457" spans="1:5" x14ac:dyDescent="0.25">
      <c r="A457" s="1">
        <v>45382</v>
      </c>
      <c r="C457">
        <f>_xlfn.FORECAST.ETS(A457,$B$2:$B$366,$A$2:$A$366,1,1)</f>
        <v>23.8485194571882</v>
      </c>
      <c r="D457" s="2">
        <f>C457-_xlfn.FORECAST.ETS.CONFINT(A457,$B$2:$B$366,$A$2:$A$366,0.95,1,1)</f>
        <v>-134.16315220306254</v>
      </c>
      <c r="E457" s="2">
        <f>C457+_xlfn.FORECAST.ETS.CONFINT(A457,$B$2:$B$366,$A$2:$A$366,0.95,1,1)</f>
        <v>181.86019111743892</v>
      </c>
    </row>
    <row r="458" spans="1:5" x14ac:dyDescent="0.25">
      <c r="A458" s="1">
        <v>45383</v>
      </c>
      <c r="C458">
        <f>_xlfn.FORECAST.ETS(A458,$B$2:$B$366,$A$2:$A$366,1,1)</f>
        <v>38.33925879068866</v>
      </c>
      <c r="D458" s="2">
        <f>C458-_xlfn.FORECAST.ETS.CONFINT(A458,$B$2:$B$366,$A$2:$A$366,0.95,1,1)</f>
        <v>-122.06167601555757</v>
      </c>
      <c r="E458" s="2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F3AE-3242-49BE-90A6-688644BE3D6E}">
  <dimension ref="A1:G27"/>
  <sheetViews>
    <sheetView showGridLines="0" workbookViewId="0">
      <selection activeCell="C30" sqref="C30"/>
    </sheetView>
  </sheetViews>
  <sheetFormatPr defaultRowHeight="15" outlineLevelRow="1" x14ac:dyDescent="0.25"/>
  <cols>
    <col min="1" max="1" width="2.28515625" customWidth="1"/>
    <col min="2" max="2" width="6.140625" bestFit="1" customWidth="1"/>
    <col min="3" max="3" width="12.7109375" bestFit="1" customWidth="1"/>
    <col min="4" max="4" width="13.5703125" bestFit="1" customWidth="1"/>
    <col min="5" max="5" width="13.28515625" bestFit="1" customWidth="1"/>
    <col min="6" max="6" width="7.7109375" bestFit="1" customWidth="1"/>
    <col min="7" max="7" width="5.7109375" bestFit="1" customWidth="1"/>
  </cols>
  <sheetData>
    <row r="1" spans="1:5" x14ac:dyDescent="0.25">
      <c r="A1" s="45" t="s">
        <v>39</v>
      </c>
    </row>
    <row r="2" spans="1:5" x14ac:dyDescent="0.25">
      <c r="A2" s="45" t="s">
        <v>40</v>
      </c>
    </row>
    <row r="3" spans="1:5" x14ac:dyDescent="0.25">
      <c r="A3" s="45" t="s">
        <v>41</v>
      </c>
    </row>
    <row r="4" spans="1:5" x14ac:dyDescent="0.25">
      <c r="A4" s="45" t="s">
        <v>42</v>
      </c>
    </row>
    <row r="5" spans="1:5" x14ac:dyDescent="0.25">
      <c r="A5" s="45" t="s">
        <v>43</v>
      </c>
    </row>
    <row r="6" spans="1:5" hidden="1" outlineLevel="1" x14ac:dyDescent="0.25">
      <c r="A6" s="45"/>
      <c r="B6" t="s">
        <v>44</v>
      </c>
    </row>
    <row r="7" spans="1:5" hidden="1" outlineLevel="1" x14ac:dyDescent="0.25">
      <c r="A7" s="45"/>
      <c r="B7" t="s">
        <v>45</v>
      </c>
    </row>
    <row r="8" spans="1:5" hidden="1" outlineLevel="1" x14ac:dyDescent="0.25">
      <c r="A8" s="45"/>
      <c r="B8" t="s">
        <v>46</v>
      </c>
    </row>
    <row r="9" spans="1:5" collapsed="1" x14ac:dyDescent="0.25">
      <c r="A9" s="45" t="s">
        <v>47</v>
      </c>
    </row>
    <row r="10" spans="1:5" hidden="1" outlineLevel="1" x14ac:dyDescent="0.25">
      <c r="B10" t="s">
        <v>48</v>
      </c>
    </row>
    <row r="11" spans="1:5" hidden="1" outlineLevel="1" x14ac:dyDescent="0.25">
      <c r="B11" t="s">
        <v>49</v>
      </c>
    </row>
    <row r="12" spans="1:5" hidden="1" outlineLevel="1" x14ac:dyDescent="0.25">
      <c r="B12" t="s">
        <v>50</v>
      </c>
    </row>
    <row r="13" spans="1:5" collapsed="1" x14ac:dyDescent="0.25"/>
    <row r="14" spans="1:5" ht="15.75" thickBot="1" x14ac:dyDescent="0.3">
      <c r="A14" t="s">
        <v>51</v>
      </c>
    </row>
    <row r="15" spans="1:5" ht="15.75" thickBot="1" x14ac:dyDescent="0.3">
      <c r="B15" s="47" t="s">
        <v>52</v>
      </c>
      <c r="C15" s="47" t="s">
        <v>53</v>
      </c>
      <c r="D15" s="47" t="s">
        <v>54</v>
      </c>
      <c r="E15" s="47" t="s">
        <v>55</v>
      </c>
    </row>
    <row r="16" spans="1:5" ht="15.75" thickBot="1" x14ac:dyDescent="0.3">
      <c r="B16" s="46" t="s">
        <v>21</v>
      </c>
      <c r="C16" s="46" t="s">
        <v>63</v>
      </c>
      <c r="D16" s="49">
        <v>566749.36181874992</v>
      </c>
      <c r="E16" s="49">
        <v>639999.95106057753</v>
      </c>
    </row>
    <row r="19" spans="1:7" ht="15.75" thickBot="1" x14ac:dyDescent="0.3">
      <c r="A19" t="s">
        <v>56</v>
      </c>
    </row>
    <row r="20" spans="1:7" ht="15.75" thickBot="1" x14ac:dyDescent="0.3">
      <c r="B20" s="47" t="s">
        <v>52</v>
      </c>
      <c r="C20" s="47" t="s">
        <v>53</v>
      </c>
      <c r="D20" s="47" t="s">
        <v>54</v>
      </c>
      <c r="E20" s="47" t="s">
        <v>55</v>
      </c>
      <c r="F20" s="47" t="s">
        <v>57</v>
      </c>
    </row>
    <row r="21" spans="1:7" x14ac:dyDescent="0.25">
      <c r="B21" s="48" t="s">
        <v>64</v>
      </c>
      <c r="C21" s="48" t="s">
        <v>19</v>
      </c>
      <c r="D21" s="50">
        <v>0.1</v>
      </c>
      <c r="E21" s="50">
        <v>0.226693026881682</v>
      </c>
      <c r="F21" s="48" t="s">
        <v>65</v>
      </c>
    </row>
    <row r="22" spans="1:7" ht="15.75" thickBot="1" x14ac:dyDescent="0.3">
      <c r="B22" s="46" t="s">
        <v>66</v>
      </c>
      <c r="C22" s="46" t="s">
        <v>20</v>
      </c>
      <c r="D22" s="51">
        <v>1.4999999999999999E-2</v>
      </c>
      <c r="E22" s="51">
        <v>2.1270607913771021E-2</v>
      </c>
      <c r="F22" s="46" t="s">
        <v>65</v>
      </c>
    </row>
    <row r="25" spans="1:7" ht="15.75" thickBot="1" x14ac:dyDescent="0.3">
      <c r="A25" t="s">
        <v>58</v>
      </c>
    </row>
    <row r="26" spans="1:7" ht="15.75" thickBot="1" x14ac:dyDescent="0.3">
      <c r="B26" s="47" t="s">
        <v>52</v>
      </c>
      <c r="C26" s="47" t="s">
        <v>53</v>
      </c>
      <c r="D26" s="47" t="s">
        <v>59</v>
      </c>
      <c r="E26" s="47" t="s">
        <v>60</v>
      </c>
      <c r="F26" s="47" t="s">
        <v>61</v>
      </c>
      <c r="G26" s="47" t="s">
        <v>62</v>
      </c>
    </row>
    <row r="27" spans="1:7" ht="15.75" thickBot="1" x14ac:dyDescent="0.3">
      <c r="B27" s="46" t="s">
        <v>21</v>
      </c>
      <c r="C27" s="46" t="s">
        <v>63</v>
      </c>
      <c r="D27" s="49">
        <v>639999.95106057753</v>
      </c>
      <c r="E27" s="46" t="s">
        <v>67</v>
      </c>
      <c r="F27" s="46" t="s">
        <v>68</v>
      </c>
      <c r="G27" s="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F40C-C0C4-423C-84CF-7AE3D829052F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2.7109375" bestFit="1" customWidth="1"/>
    <col min="4" max="4" width="12" bestFit="1" customWidth="1"/>
    <col min="5" max="5" width="9.7109375" bestFit="1" customWidth="1"/>
  </cols>
  <sheetData>
    <row r="1" spans="1:5" x14ac:dyDescent="0.25">
      <c r="A1" s="45" t="s">
        <v>69</v>
      </c>
    </row>
    <row r="2" spans="1:5" x14ac:dyDescent="0.25">
      <c r="A2" s="45" t="s">
        <v>40</v>
      </c>
    </row>
    <row r="3" spans="1:5" x14ac:dyDescent="0.25">
      <c r="A3" s="45" t="s">
        <v>41</v>
      </c>
    </row>
    <row r="6" spans="1:5" ht="15.75" thickBot="1" x14ac:dyDescent="0.3">
      <c r="A6" t="s">
        <v>56</v>
      </c>
    </row>
    <row r="7" spans="1:5" x14ac:dyDescent="0.25">
      <c r="B7" s="52"/>
      <c r="C7" s="52"/>
      <c r="D7" s="52" t="s">
        <v>70</v>
      </c>
      <c r="E7" s="52" t="s">
        <v>72</v>
      </c>
    </row>
    <row r="8" spans="1:5" ht="15.75" thickBot="1" x14ac:dyDescent="0.3">
      <c r="B8" s="53" t="s">
        <v>52</v>
      </c>
      <c r="C8" s="53" t="s">
        <v>53</v>
      </c>
      <c r="D8" s="53" t="s">
        <v>71</v>
      </c>
      <c r="E8" s="53" t="s">
        <v>73</v>
      </c>
    </row>
    <row r="9" spans="1:5" x14ac:dyDescent="0.25">
      <c r="B9" s="48" t="s">
        <v>64</v>
      </c>
      <c r="C9" s="48" t="s">
        <v>19</v>
      </c>
      <c r="D9" s="48">
        <v>0.226693026881682</v>
      </c>
      <c r="E9" s="48">
        <v>0</v>
      </c>
    </row>
    <row r="10" spans="1:5" ht="15.75" thickBot="1" x14ac:dyDescent="0.3">
      <c r="B10" s="46" t="s">
        <v>66</v>
      </c>
      <c r="C10" s="46" t="s">
        <v>20</v>
      </c>
      <c r="D10" s="46">
        <v>2.1270607913771021E-2</v>
      </c>
      <c r="E10" s="46">
        <v>0</v>
      </c>
    </row>
    <row r="12" spans="1:5" ht="15.75" thickBot="1" x14ac:dyDescent="0.3">
      <c r="A12" t="s">
        <v>58</v>
      </c>
    </row>
    <row r="13" spans="1:5" x14ac:dyDescent="0.25">
      <c r="B13" s="52"/>
      <c r="C13" s="52"/>
      <c r="D13" s="52" t="s">
        <v>70</v>
      </c>
      <c r="E13" s="52" t="s">
        <v>74</v>
      </c>
    </row>
    <row r="14" spans="1:5" ht="15.75" thickBot="1" x14ac:dyDescent="0.3">
      <c r="B14" s="53" t="s">
        <v>52</v>
      </c>
      <c r="C14" s="53" t="s">
        <v>53</v>
      </c>
      <c r="D14" s="53" t="s">
        <v>71</v>
      </c>
      <c r="E14" s="53" t="s">
        <v>75</v>
      </c>
    </row>
    <row r="15" spans="1:5" ht="15.75" thickBot="1" x14ac:dyDescent="0.3">
      <c r="B15" s="46" t="s">
        <v>21</v>
      </c>
      <c r="C15" s="46" t="s">
        <v>63</v>
      </c>
      <c r="D15" s="46">
        <v>639999.95106057753</v>
      </c>
      <c r="E15" s="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2F25-6E38-46BC-BBD9-D7AADBCE25A3}">
  <dimension ref="A1:J14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2.7109375" bestFit="1" customWidth="1"/>
    <col min="4" max="4" width="10.5703125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45" t="s">
        <v>76</v>
      </c>
    </row>
    <row r="2" spans="1:10" x14ac:dyDescent="0.25">
      <c r="A2" s="45" t="s">
        <v>40</v>
      </c>
    </row>
    <row r="3" spans="1:10" x14ac:dyDescent="0.25">
      <c r="A3" s="45" t="s">
        <v>41</v>
      </c>
    </row>
    <row r="5" spans="1:10" ht="15.75" thickBot="1" x14ac:dyDescent="0.3"/>
    <row r="6" spans="1:10" x14ac:dyDescent="0.25">
      <c r="B6" s="52"/>
      <c r="C6" s="52" t="s">
        <v>77</v>
      </c>
      <c r="D6" s="52"/>
    </row>
    <row r="7" spans="1:10" ht="15.75" thickBot="1" x14ac:dyDescent="0.3">
      <c r="B7" s="53" t="s">
        <v>52</v>
      </c>
      <c r="C7" s="53" t="s">
        <v>53</v>
      </c>
      <c r="D7" s="53" t="s">
        <v>71</v>
      </c>
    </row>
    <row r="8" spans="1:10" ht="15.75" thickBot="1" x14ac:dyDescent="0.3">
      <c r="B8" s="46" t="s">
        <v>21</v>
      </c>
      <c r="C8" s="46" t="s">
        <v>63</v>
      </c>
      <c r="D8" s="49">
        <v>639999.95106057753</v>
      </c>
    </row>
    <row r="10" spans="1:10" ht="15.75" thickBot="1" x14ac:dyDescent="0.3"/>
    <row r="11" spans="1:10" x14ac:dyDescent="0.25">
      <c r="B11" s="52"/>
      <c r="C11" s="52" t="s">
        <v>78</v>
      </c>
      <c r="D11" s="52"/>
      <c r="F11" s="52" t="s">
        <v>79</v>
      </c>
      <c r="G11" s="52" t="s">
        <v>77</v>
      </c>
      <c r="I11" s="52" t="s">
        <v>82</v>
      </c>
      <c r="J11" s="52" t="s">
        <v>77</v>
      </c>
    </row>
    <row r="12" spans="1:10" ht="15.75" thickBot="1" x14ac:dyDescent="0.3">
      <c r="B12" s="53" t="s">
        <v>52</v>
      </c>
      <c r="C12" s="53" t="s">
        <v>53</v>
      </c>
      <c r="D12" s="53" t="s">
        <v>71</v>
      </c>
      <c r="F12" s="53" t="s">
        <v>80</v>
      </c>
      <c r="G12" s="53" t="s">
        <v>81</v>
      </c>
      <c r="I12" s="53" t="s">
        <v>80</v>
      </c>
      <c r="J12" s="53" t="s">
        <v>81</v>
      </c>
    </row>
    <row r="13" spans="1:10" x14ac:dyDescent="0.25">
      <c r="B13" s="48" t="s">
        <v>64</v>
      </c>
      <c r="C13" s="48" t="s">
        <v>19</v>
      </c>
      <c r="D13" s="50">
        <v>0.226693026881682</v>
      </c>
      <c r="F13" s="50">
        <v>0</v>
      </c>
      <c r="G13" s="50">
        <v>521727.87896862096</v>
      </c>
      <c r="I13" s="48" t="e">
        <v>#N/A</v>
      </c>
      <c r="J13" s="48" t="e">
        <v>#N/A</v>
      </c>
    </row>
    <row r="14" spans="1:10" ht="15.75" thickBot="1" x14ac:dyDescent="0.3">
      <c r="B14" s="46" t="s">
        <v>66</v>
      </c>
      <c r="C14" s="46" t="s">
        <v>20</v>
      </c>
      <c r="D14" s="51">
        <v>2.1270607913771021E-2</v>
      </c>
      <c r="F14" s="51">
        <v>0</v>
      </c>
      <c r="G14" s="51">
        <v>613346.51344084099</v>
      </c>
      <c r="I14" s="46" t="e">
        <v>#N/A</v>
      </c>
      <c r="J14" s="46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8513-F6AC-4473-A316-1C9C8E44429D}">
  <dimension ref="B2:K20"/>
  <sheetViews>
    <sheetView zoomScale="113" workbookViewId="0">
      <selection activeCell="F23" sqref="F23"/>
    </sheetView>
  </sheetViews>
  <sheetFormatPr defaultRowHeight="15" x14ac:dyDescent="0.25"/>
  <cols>
    <col min="2" max="2" width="12.5703125" bestFit="1" customWidth="1"/>
    <col min="3" max="3" width="11.7109375" bestFit="1" customWidth="1"/>
    <col min="5" max="5" width="9.140625" customWidth="1"/>
    <col min="6" max="6" width="10.140625" style="18" customWidth="1"/>
    <col min="7" max="7" width="11.140625" style="18" customWidth="1"/>
    <col min="8" max="8" width="10.85546875" style="18" customWidth="1"/>
    <col min="9" max="9" width="12.5703125" style="18" customWidth="1"/>
  </cols>
  <sheetData>
    <row r="2" spans="2:11" x14ac:dyDescent="0.25">
      <c r="J2" s="18"/>
      <c r="K2" s="18"/>
    </row>
    <row r="5" spans="2:11" ht="15.75" thickBot="1" x14ac:dyDescent="0.3"/>
    <row r="6" spans="2:11" x14ac:dyDescent="0.25">
      <c r="B6" s="3" t="s">
        <v>5</v>
      </c>
      <c r="C6" s="4"/>
      <c r="F6" s="19" t="s">
        <v>13</v>
      </c>
      <c r="G6" s="19" t="s">
        <v>6</v>
      </c>
      <c r="H6" s="19" t="s">
        <v>7</v>
      </c>
      <c r="I6" s="19" t="s">
        <v>8</v>
      </c>
    </row>
    <row r="7" spans="2:11" x14ac:dyDescent="0.25">
      <c r="B7" s="5" t="s">
        <v>6</v>
      </c>
      <c r="C7" s="6">
        <v>100000</v>
      </c>
      <c r="F7" s="20" t="s">
        <v>14</v>
      </c>
      <c r="G7" s="26">
        <v>100000</v>
      </c>
      <c r="H7" s="25">
        <v>0.1</v>
      </c>
      <c r="I7" s="27">
        <v>1.4999999999999999E-2</v>
      </c>
    </row>
    <row r="8" spans="2:11" x14ac:dyDescent="0.25">
      <c r="B8" s="5" t="s">
        <v>7</v>
      </c>
      <c r="C8" s="7">
        <v>0.17283479610661426</v>
      </c>
      <c r="F8" s="20" t="s">
        <v>15</v>
      </c>
      <c r="G8" s="26">
        <v>80000</v>
      </c>
      <c r="H8" s="25">
        <v>0.15</v>
      </c>
      <c r="I8" s="27">
        <v>1.2E-2</v>
      </c>
    </row>
    <row r="9" spans="2:11" ht="15.75" thickBot="1" x14ac:dyDescent="0.3">
      <c r="B9" s="8" t="s">
        <v>8</v>
      </c>
      <c r="C9" s="9">
        <v>4.3731865887940702E-2</v>
      </c>
      <c r="F9" s="20" t="s">
        <v>16</v>
      </c>
      <c r="G9" s="26">
        <v>120000</v>
      </c>
      <c r="H9" s="25">
        <v>0.05</v>
      </c>
      <c r="I9" s="27">
        <v>8.0000000000000002E-3</v>
      </c>
    </row>
    <row r="10" spans="2:11" x14ac:dyDescent="0.25">
      <c r="F10" s="21" t="s">
        <v>17</v>
      </c>
      <c r="G10" s="22" t="e">
        <f>NA()</f>
        <v>#N/A</v>
      </c>
      <c r="H10" s="23">
        <v>0.25</v>
      </c>
      <c r="I10" s="24">
        <v>0.04</v>
      </c>
    </row>
    <row r="12" spans="2:11" ht="15.75" thickBot="1" x14ac:dyDescent="0.3"/>
    <row r="13" spans="2:11" x14ac:dyDescent="0.25">
      <c r="B13" s="3" t="s">
        <v>9</v>
      </c>
      <c r="C13" s="4"/>
    </row>
    <row r="14" spans="2:11" x14ac:dyDescent="0.25">
      <c r="B14" s="10" t="s">
        <v>10</v>
      </c>
      <c r="C14" s="11" t="s">
        <v>11</v>
      </c>
    </row>
    <row r="15" spans="2:11" x14ac:dyDescent="0.25">
      <c r="B15" s="12">
        <v>0</v>
      </c>
      <c r="C15" s="13">
        <f>(base*(1+raise)^B15)*(1+bonus)</f>
        <v>117283.47961066144</v>
      </c>
    </row>
    <row r="16" spans="2:11" x14ac:dyDescent="0.25">
      <c r="B16" s="12">
        <v>1</v>
      </c>
      <c r="C16" s="13">
        <f>(base*(1+raise)^B16)*(1+bonus)</f>
        <v>122412.5050118659</v>
      </c>
    </row>
    <row r="17" spans="2:3" x14ac:dyDescent="0.25">
      <c r="B17" s="12">
        <v>2</v>
      </c>
      <c r="C17" s="13">
        <f>(base*(1+raise)^B17)*(1+bonus)</f>
        <v>127765.83226405167</v>
      </c>
    </row>
    <row r="18" spans="2:3" x14ac:dyDescent="0.25">
      <c r="B18" s="12">
        <v>3</v>
      </c>
      <c r="C18" s="13">
        <f>(base*(1+raise)^B18)*(1+bonus)</f>
        <v>133353.27050568431</v>
      </c>
    </row>
    <row r="19" spans="2:3" ht="15.75" thickBot="1" x14ac:dyDescent="0.3">
      <c r="B19" s="14">
        <v>4</v>
      </c>
      <c r="C19" s="15">
        <f>(base*(1+raise)^B19)*(1+bonus)</f>
        <v>139185.05784715715</v>
      </c>
    </row>
    <row r="20" spans="2:3" ht="16.5" thickTop="1" thickBot="1" x14ac:dyDescent="0.3">
      <c r="B20" s="16" t="s">
        <v>12</v>
      </c>
      <c r="C20" s="17">
        <f>SUM(C15:C19)</f>
        <v>640000.14523942047</v>
      </c>
    </row>
  </sheetData>
  <scenarios current="1" show="1" sqref="C15:C20">
    <scenario name="Job1" locked="1" count="3" user="MD WASHIFUL HAQUE" comment="Created by MD WASHIFUL HAQUE on 04-09-2026_x000a_Modified by MD WASHIFUL HAQUE on 04-09-2026">
      <inputCells r="C7" val="100000" numFmtId="165"/>
      <inputCells r="C8" val="0.1" numFmtId="9"/>
      <inputCells r="C9" val="0.015" numFmtId="166"/>
    </scenario>
    <scenario name="Job2" locked="1" count="3" user="MD WASHIFUL HAQUE" comment="Created by MD WASHIFUL HAQUE on 04-09-2026_x000a_Modified by MD WASHIFUL HAQUE on 04-09-2026">
      <inputCells r="C7" val="80000" numFmtId="165"/>
      <inputCells r="C8" val="0.15" numFmtId="9"/>
      <inputCells r="C9" val="0.012" numFmtId="166"/>
    </scenario>
    <scenario name="Job3" locked="1" count="3" user="MD WASHIFUL HAQUE" comment="Created by MD WASHIFUL HAQUE on 04-09-2026">
      <inputCells r="C7" val="120000" numFmtId="165"/>
      <inputCells r="C8" val="0.05" numFmtId="9"/>
      <inputCells r="C9" val="0.008" numFmtId="166"/>
    </scenario>
  </scenarios>
  <mergeCells count="2">
    <mergeCell ref="B6:C6"/>
    <mergeCell ref="B13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F382-202F-4D19-B15D-84BBFB88381D}">
  <sheetPr>
    <outlinePr summaryBelow="0"/>
  </sheetPr>
  <dimension ref="B1:G18"/>
  <sheetViews>
    <sheetView showGridLines="0" tabSelected="1" zoomScale="143" workbookViewId="0">
      <selection activeCell="G21" sqref="G21"/>
    </sheetView>
  </sheetViews>
  <sheetFormatPr defaultRowHeight="15" outlineLevelRow="1" outlineLevelCol="1" x14ac:dyDescent="0.25"/>
  <cols>
    <col min="3" max="3" width="6.5703125" bestFit="1" customWidth="1"/>
    <col min="4" max="7" width="12.42578125" customWidth="1" outlineLevel="1"/>
  </cols>
  <sheetData>
    <row r="1" spans="2:7" ht="15.75" thickBot="1" x14ac:dyDescent="0.3"/>
    <row r="2" spans="2:7" ht="15.75" x14ac:dyDescent="0.25">
      <c r="B2" s="34" t="s">
        <v>26</v>
      </c>
      <c r="C2" s="34"/>
      <c r="D2" s="39"/>
      <c r="E2" s="39"/>
      <c r="F2" s="39"/>
      <c r="G2" s="39"/>
    </row>
    <row r="3" spans="2:7" ht="15.75" collapsed="1" x14ac:dyDescent="0.25">
      <c r="B3" s="33"/>
      <c r="C3" s="33"/>
      <c r="D3" s="40" t="s">
        <v>28</v>
      </c>
      <c r="E3" s="40" t="s">
        <v>14</v>
      </c>
      <c r="F3" s="40" t="s">
        <v>23</v>
      </c>
      <c r="G3" s="40" t="s">
        <v>24</v>
      </c>
    </row>
    <row r="4" spans="2:7" ht="90" hidden="1" outlineLevel="1" x14ac:dyDescent="0.25">
      <c r="B4" s="36"/>
      <c r="C4" s="36"/>
      <c r="D4" s="28"/>
      <c r="E4" s="44" t="s">
        <v>22</v>
      </c>
      <c r="F4" s="44" t="s">
        <v>22</v>
      </c>
      <c r="G4" s="44" t="s">
        <v>25</v>
      </c>
    </row>
    <row r="5" spans="2:7" x14ac:dyDescent="0.25">
      <c r="B5" s="37" t="s">
        <v>27</v>
      </c>
      <c r="C5" s="37"/>
      <c r="D5" s="35"/>
      <c r="E5" s="35"/>
      <c r="F5" s="35"/>
      <c r="G5" s="35"/>
    </row>
    <row r="6" spans="2:7" outlineLevel="1" x14ac:dyDescent="0.25">
      <c r="B6" s="36"/>
      <c r="C6" s="36" t="s">
        <v>18</v>
      </c>
      <c r="D6" s="29">
        <v>80000</v>
      </c>
      <c r="E6" s="41">
        <v>100000</v>
      </c>
      <c r="F6" s="41">
        <v>80000</v>
      </c>
      <c r="G6" s="41">
        <v>120000</v>
      </c>
    </row>
    <row r="7" spans="2:7" outlineLevel="1" x14ac:dyDescent="0.25">
      <c r="B7" s="36"/>
      <c r="C7" s="36" t="s">
        <v>19</v>
      </c>
      <c r="D7" s="30">
        <v>0.15</v>
      </c>
      <c r="E7" s="42">
        <v>0.1</v>
      </c>
      <c r="F7" s="42">
        <v>0.15</v>
      </c>
      <c r="G7" s="42">
        <v>0.05</v>
      </c>
    </row>
    <row r="8" spans="2:7" outlineLevel="1" x14ac:dyDescent="0.25">
      <c r="B8" s="36"/>
      <c r="C8" s="36" t="s">
        <v>20</v>
      </c>
      <c r="D8" s="31">
        <v>1.2E-2</v>
      </c>
      <c r="E8" s="43">
        <v>1.4999999999999999E-2</v>
      </c>
      <c r="F8" s="43">
        <v>1.2E-2</v>
      </c>
      <c r="G8" s="43">
        <v>8.0000000000000002E-3</v>
      </c>
    </row>
    <row r="9" spans="2:7" x14ac:dyDescent="0.25">
      <c r="B9" s="37" t="s">
        <v>29</v>
      </c>
      <c r="C9" s="37"/>
      <c r="D9" s="35"/>
      <c r="E9" s="35"/>
      <c r="F9" s="35"/>
      <c r="G9" s="35"/>
    </row>
    <row r="10" spans="2:7" outlineLevel="1" x14ac:dyDescent="0.25">
      <c r="B10" s="36"/>
      <c r="C10" s="36" t="s">
        <v>33</v>
      </c>
      <c r="D10" s="29">
        <v>92000</v>
      </c>
      <c r="E10" s="29">
        <v>110000</v>
      </c>
      <c r="F10" s="29">
        <v>92000</v>
      </c>
      <c r="G10" s="29">
        <v>126000</v>
      </c>
    </row>
    <row r="11" spans="2:7" outlineLevel="1" x14ac:dyDescent="0.25">
      <c r="B11" s="36"/>
      <c r="C11" s="36" t="s">
        <v>34</v>
      </c>
      <c r="D11" s="29">
        <v>93104</v>
      </c>
      <c r="E11" s="29">
        <v>111650</v>
      </c>
      <c r="F11" s="29">
        <v>93104</v>
      </c>
      <c r="G11" s="29">
        <v>127008</v>
      </c>
    </row>
    <row r="12" spans="2:7" outlineLevel="1" x14ac:dyDescent="0.25">
      <c r="B12" s="36"/>
      <c r="C12" s="36" t="s">
        <v>35</v>
      </c>
      <c r="D12" s="29">
        <v>94221.248000000007</v>
      </c>
      <c r="E12" s="29">
        <v>113324.75</v>
      </c>
      <c r="F12" s="29">
        <v>94221.248000000007</v>
      </c>
      <c r="G12" s="29">
        <v>128024.064</v>
      </c>
    </row>
    <row r="13" spans="2:7" outlineLevel="1" x14ac:dyDescent="0.25">
      <c r="B13" s="36"/>
      <c r="C13" s="36" t="s">
        <v>36</v>
      </c>
      <c r="D13" s="29">
        <v>95351.902975999998</v>
      </c>
      <c r="E13" s="29">
        <v>115024.62125</v>
      </c>
      <c r="F13" s="29">
        <v>95351.902975999998</v>
      </c>
      <c r="G13" s="29">
        <v>129048.25651200001</v>
      </c>
    </row>
    <row r="14" spans="2:7" outlineLevel="1" x14ac:dyDescent="0.25">
      <c r="B14" s="36"/>
      <c r="C14" s="36" t="s">
        <v>37</v>
      </c>
      <c r="D14" s="29">
        <v>96496.125811712001</v>
      </c>
      <c r="E14" s="29">
        <v>116749.99056875</v>
      </c>
      <c r="F14" s="29">
        <v>96496.125811712001</v>
      </c>
      <c r="G14" s="29">
        <v>130080.64256409599</v>
      </c>
    </row>
    <row r="15" spans="2:7" ht="15.75" outlineLevel="1" thickBot="1" x14ac:dyDescent="0.3">
      <c r="B15" s="38"/>
      <c r="C15" s="38" t="s">
        <v>38</v>
      </c>
      <c r="D15" s="32">
        <v>471173.27678771201</v>
      </c>
      <c r="E15" s="32">
        <v>566749.36181875004</v>
      </c>
      <c r="F15" s="32">
        <v>471173.27678771201</v>
      </c>
      <c r="G15" s="32">
        <v>640160.96307609603</v>
      </c>
    </row>
    <row r="16" spans="2:7" x14ac:dyDescent="0.25">
      <c r="B16" t="s">
        <v>30</v>
      </c>
    </row>
    <row r="17" spans="2:2" x14ac:dyDescent="0.25">
      <c r="B17" t="s">
        <v>31</v>
      </c>
    </row>
    <row r="18" spans="2:2" x14ac:dyDescent="0.25"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Forecast</vt:lpstr>
      <vt:lpstr>Answer Report 1</vt:lpstr>
      <vt:lpstr>Sensitivity Report 1</vt:lpstr>
      <vt:lpstr>Limits Report 1</vt:lpstr>
      <vt:lpstr>If Analysis</vt:lpstr>
      <vt:lpstr>Scenario Summary </vt:lpstr>
      <vt:lpstr>base</vt:lpstr>
      <vt:lpstr>bonus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mdwashiful@outlook.com</dc:creator>
  <cp:lastModifiedBy>mdwashiful@outlook.com</cp:lastModifiedBy>
  <dcterms:created xsi:type="dcterms:W3CDTF">2026-09-04T12:36:19Z</dcterms:created>
  <dcterms:modified xsi:type="dcterms:W3CDTF">2026-09-04T17:27:35Z</dcterms:modified>
</cp:coreProperties>
</file>