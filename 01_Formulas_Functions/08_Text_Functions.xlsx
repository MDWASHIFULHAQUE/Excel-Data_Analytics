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D WASHIFUL HAQUE\Downloads\Excel Project\"/>
    </mc:Choice>
  </mc:AlternateContent>
  <xr:revisionPtr revIDLastSave="0" documentId="8_{CF9FC751-E35A-42D9-9BD2-DB53404F3A01}" xr6:coauthVersionLast="47" xr6:coauthVersionMax="47" xr10:uidLastSave="{00000000-0000-0000-0000-000000000000}"/>
  <bookViews>
    <workbookView xWindow="-120" yWindow="-120" windowWidth="29040" windowHeight="15720" xr2:uid="{79AC3538-C563-4D9C-A59E-E5F6D49F4739}"/>
  </bookViews>
  <sheets>
    <sheet name="Data+practice" sheetId="1" r:id="rId1"/>
    <sheet name="Practice set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 l="1" a="1"/>
  <c r="A9" i="2" s="1" a="1"/>
  <c r="A2" i="2"/>
  <c r="T1" i="1"/>
  <c r="Q14" i="1"/>
  <c r="R14" i="1"/>
  <c r="S14" i="1"/>
  <c r="Q15" i="1"/>
  <c r="R15" i="1"/>
  <c r="S15" i="1"/>
  <c r="Q16" i="1"/>
  <c r="R16" i="1"/>
  <c r="S16" i="1"/>
  <c r="Q17" i="1"/>
  <c r="R17" i="1"/>
  <c r="S17" i="1"/>
  <c r="Q18" i="1"/>
  <c r="R18" i="1"/>
  <c r="S18" i="1"/>
  <c r="Q19" i="1"/>
  <c r="R19" i="1" s="1"/>
  <c r="S19" i="1"/>
  <c r="Q20" i="1"/>
  <c r="Q21" i="1"/>
  <c r="R21" i="1"/>
  <c r="S21" i="1"/>
  <c r="Q3" i="1"/>
  <c r="R3" i="1"/>
  <c r="S3" i="1"/>
  <c r="Q4" i="1"/>
  <c r="R4" i="1"/>
  <c r="S4" i="1"/>
  <c r="Q5" i="1"/>
  <c r="R5" i="1"/>
  <c r="S5" i="1"/>
  <c r="Q6" i="1"/>
  <c r="R6" i="1"/>
  <c r="S6" i="1"/>
  <c r="Q7" i="1"/>
  <c r="Q8" i="1"/>
  <c r="R8" i="1"/>
  <c r="S8" i="1"/>
  <c r="Q9" i="1"/>
  <c r="R9" i="1"/>
  <c r="S9" i="1"/>
  <c r="Q10" i="1"/>
  <c r="R10" i="1"/>
  <c r="S10" i="1"/>
  <c r="Q11" i="1"/>
  <c r="Q12" i="1"/>
  <c r="R12" i="1" s="1"/>
  <c r="S12" i="1"/>
  <c r="Q13" i="1"/>
  <c r="Q2" i="1"/>
  <c r="O3" i="1"/>
  <c r="O4" i="1"/>
  <c r="O5" i="1"/>
  <c r="O6" i="1"/>
  <c r="O7" i="1"/>
  <c r="O8" i="1"/>
  <c r="O9" i="1"/>
  <c r="O10" i="1"/>
  <c r="O11" i="1"/>
  <c r="O12" i="1"/>
  <c r="O13" i="1"/>
  <c r="O14" i="1"/>
  <c r="O15" i="1"/>
  <c r="O16" i="1"/>
  <c r="O17" i="1"/>
  <c r="O18" i="1"/>
  <c r="O19" i="1"/>
  <c r="O20" i="1"/>
  <c r="O21" i="1"/>
  <c r="O2" i="1"/>
  <c r="L3" i="1" a="1"/>
  <c r="L4" i="1" a="1"/>
  <c r="L5" i="1" a="1"/>
  <c r="L6" i="1" a="1"/>
  <c r="L7" i="1" a="1"/>
  <c r="L8" i="1" a="1"/>
  <c r="L9" i="1" a="1"/>
  <c r="L10" i="1" a="1"/>
  <c r="L11" i="1" a="1"/>
  <c r="L12" i="1" a="1"/>
  <c r="L13" i="1" a="1"/>
  <c r="L14" i="1" a="1"/>
  <c r="L15" i="1" a="1"/>
  <c r="L16" i="1" a="1"/>
  <c r="L17" i="1" a="1"/>
  <c r="L18" i="1" a="1"/>
  <c r="L19" i="1" a="1"/>
  <c r="L20" i="1" a="1"/>
  <c r="L21" i="1" a="1"/>
  <c r="L2" i="1" a="1"/>
  <c r="J3" i="1"/>
  <c r="J4" i="1"/>
  <c r="J5" i="1"/>
  <c r="J6" i="1"/>
  <c r="J7" i="1"/>
  <c r="J8" i="1"/>
  <c r="J9" i="1"/>
  <c r="J10" i="1"/>
  <c r="J11" i="1"/>
  <c r="J12" i="1"/>
  <c r="J13" i="1"/>
  <c r="J14" i="1"/>
  <c r="J15" i="1"/>
  <c r="J16" i="1"/>
  <c r="J17" i="1"/>
  <c r="J18" i="1"/>
  <c r="J19" i="1"/>
  <c r="J20" i="1"/>
  <c r="J21" i="1"/>
  <c r="J2" i="1"/>
  <c r="B9" i="2" l="1"/>
  <c r="B25" i="2"/>
  <c r="B24" i="2"/>
  <c r="B23" i="2"/>
  <c r="B22" i="2"/>
  <c r="B21" i="2"/>
  <c r="B20" i="2"/>
  <c r="B19" i="2"/>
  <c r="B18" i="2"/>
  <c r="B17" i="2"/>
  <c r="B16" i="2"/>
  <c r="B15" i="2"/>
  <c r="B14" i="2"/>
  <c r="B13" i="2"/>
  <c r="B12" i="2"/>
  <c r="B11" i="2"/>
  <c r="B10" i="2"/>
  <c r="R20" i="1"/>
  <c r="S20" i="1"/>
  <c r="R7" i="1"/>
  <c r="S7" i="1"/>
  <c r="R11" i="1"/>
  <c r="S11" i="1"/>
  <c r="R13" i="1"/>
  <c r="S13" i="1"/>
  <c r="S2" i="1"/>
  <c r="R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<sst xmlns="http://schemas.openxmlformats.org/spreadsheetml/2006/main" count="157" uniqueCount="93">
  <si>
    <t>Applicant ID</t>
  </si>
  <si>
    <t>Full Name</t>
  </si>
  <si>
    <t>Job Position</t>
  </si>
  <si>
    <t>Application Date &amp; Time</t>
  </si>
  <si>
    <t>Email</t>
  </si>
  <si>
    <t>Street</t>
  </si>
  <si>
    <t>City State Zip</t>
  </si>
  <si>
    <t>Skills List</t>
  </si>
  <si>
    <t>AID0123548</t>
  </si>
  <si>
    <t>Pam Beesly</t>
  </si>
  <si>
    <t>Data Analyst</t>
  </si>
  <si>
    <t>pam.beesly@outlook.com</t>
  </si>
  <si>
    <t>457 Oak St</t>
  </si>
  <si>
    <t>San Jose, CA, 95101</t>
  </si>
  <si>
    <t>Kafka, DataBricks, Spark, Python, GCP</t>
  </si>
  <si>
    <t>AID0123549</t>
  </si>
  <si>
    <t>Michael Scott</t>
  </si>
  <si>
    <t>Business Intelligence Analyst</t>
  </si>
  <si>
    <t>michael.scott@gmail.com</t>
  </si>
  <si>
    <t>203 Birch St</t>
  </si>
  <si>
    <t>Chicago, IL, 60601</t>
  </si>
  <si>
    <t>Power BI, GCP, Airflow, Hadoop, R</t>
  </si>
  <si>
    <t>AID0123550</t>
  </si>
  <si>
    <t>Kevin Malone</t>
  </si>
  <si>
    <t>Data Engineer</t>
  </si>
  <si>
    <t>kevin.malone@aol.com</t>
  </si>
  <si>
    <t>790 Pine St</t>
  </si>
  <si>
    <t>Azure, Java, SQL, DataBricks</t>
  </si>
  <si>
    <t>AID0123551</t>
  </si>
  <si>
    <t>AID0123552</t>
  </si>
  <si>
    <t>Jim Halpert</t>
  </si>
  <si>
    <t>Data Scientist</t>
  </si>
  <si>
    <t>jim.halpert@hotmail.com</t>
  </si>
  <si>
    <t>459 Oak St</t>
  </si>
  <si>
    <t>Philadelphia, PA, 19101</t>
  </si>
  <si>
    <t>DataBricks, Hadoop, Java</t>
  </si>
  <si>
    <t>AID0123553</t>
  </si>
  <si>
    <t>Ryan Howard</t>
  </si>
  <si>
    <t>Machine Learning Engineer</t>
  </si>
  <si>
    <t>ryan.howard@aol.com</t>
  </si>
  <si>
    <t>204 Birch St</t>
  </si>
  <si>
    <t>Snowflake, Airflow, DataBricks</t>
  </si>
  <si>
    <t>AID0123554</t>
  </si>
  <si>
    <t>AID0123555</t>
  </si>
  <si>
    <t>AID0123556</t>
  </si>
  <si>
    <t>Stanley Hudson</t>
  </si>
  <si>
    <t>stanley.hudson@gmail.com</t>
  </si>
  <si>
    <t>123 Elm St</t>
  </si>
  <si>
    <t>Scala, Azure, R, Kafka</t>
  </si>
  <si>
    <t>AID0123557</t>
  </si>
  <si>
    <t>Angela Martin</t>
  </si>
  <si>
    <t>angela.martin@ymail.com</t>
  </si>
  <si>
    <t>Los Angeles, CA, 90001</t>
  </si>
  <si>
    <t>Snowflake, Excel, Scala</t>
  </si>
  <si>
    <t>AID0123558</t>
  </si>
  <si>
    <t>Dwight Schrute</t>
  </si>
  <si>
    <t>dwight.schrute@gmail.com</t>
  </si>
  <si>
    <t>San Diego, CA, 92101</t>
  </si>
  <si>
    <t>Excel, Power BI, R</t>
  </si>
  <si>
    <t>AID0123559</t>
  </si>
  <si>
    <t>Oscar Martinez</t>
  </si>
  <si>
    <t>oscar.martinez@outlook.com</t>
  </si>
  <si>
    <t>202 Birch St</t>
  </si>
  <si>
    <t>Scala, R, Hadoop, Power BI, SQL</t>
  </si>
  <si>
    <t>AID0123560</t>
  </si>
  <si>
    <t>AID0123561</t>
  </si>
  <si>
    <t>Phyllis Vance</t>
  </si>
  <si>
    <t>phyllis.vance@gmail.com</t>
  </si>
  <si>
    <t>Java, Scala, R</t>
  </si>
  <si>
    <t>AID0123562</t>
  </si>
  <si>
    <t>Meredith Palmer</t>
  </si>
  <si>
    <t>meredith.palmer@outlook.com</t>
  </si>
  <si>
    <t>456 Oak St</t>
  </si>
  <si>
    <t>DataBricks, Azure, Scala</t>
  </si>
  <si>
    <t>AID0123563</t>
  </si>
  <si>
    <t>Chicago, IL, 60602</t>
  </si>
  <si>
    <t>AID0123564</t>
  </si>
  <si>
    <t>AID0123565</t>
  </si>
  <si>
    <t>Kelly Kapoor</t>
  </si>
  <si>
    <t>kelly.kapoor@gmail.com</t>
  </si>
  <si>
    <t>New York, NY, 10001</t>
  </si>
  <si>
    <t>Snowflake, Power BI, Tableau, Airflow, SQL</t>
  </si>
  <si>
    <t>AID0123566</t>
  </si>
  <si>
    <t>AID0123567</t>
  </si>
  <si>
    <t>Full Address</t>
  </si>
  <si>
    <t>First Name</t>
  </si>
  <si>
    <t>Last Name</t>
  </si>
  <si>
    <t>Applicant ID (Short)</t>
  </si>
  <si>
    <t>Find and MID (State)</t>
  </si>
  <si>
    <t>=TEXTJOIN(", ", TRUE, Data!H2:H21)</t>
  </si>
  <si>
    <t>=TEXTSPLIT(A3, ", ")</t>
  </si>
  <si>
    <t>=UNIQUE(TRANSPOSE(6:6))</t>
  </si>
  <si>
    <t>=COUNTIF($6:$6,A9)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</si>
</sst>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2" xfId="0" applyFont="1" applyFill="1" applyBorder="1"/>
    <xf numFmtId="14" fontId="1" fillId="2" borderId="2" xfId="0" applyNumberFormat="1" applyFont="1" applyFill="1" applyBorder="1"/>
    <xf numFmtId="0" fontId="1" fillId="2" borderId="3" xfId="0" applyFont="1" applyFill="1" applyBorder="1"/>
    <xf numFmtId="0" fontId="0" fillId="0" borderId="4" xfId="0" applyBorder="1"/>
    <xf numFmtId="0" fontId="0" fillId="0" borderId="5" xfId="0" applyBorder="1"/>
    <xf numFmtId="164" fontId="0" fillId="0" borderId="5" xfId="0" applyNumberFormat="1" applyBorder="1"/>
    <xf numFmtId="0" fontId="0" fillId="0" borderId="6" xfId="0" applyBorder="1"/>
    <xf numFmtId="0" fontId="0" fillId="0" borderId="7" xfId="0" applyBorder="1"/>
    <xf numFmtId="164" fontId="0" fillId="0" borderId="7" xfId="0" applyNumberFormat="1" applyBorder="1"/>
    <xf numFmtId="0" fontId="0" fillId="0" borderId="8" xfId="0" applyBorder="1"/>
    <xf numFmtId="0" fontId="1" fillId="2" borderId="0" xfId="0" applyFont="1" applyFill="1"/>
    <xf numFmtId="0" fontId="1" fillId="2" borderId="0" xfId="0" applyFont="1" applyFill="1" applyAlignment="1">
      <alignment horizontal="center"/>
    </xf>
    <xf numFmtId="0" fontId="1" fillId="2" borderId="0" xfId="0" quotePrefix="1"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'Practice set 2'!$A$9:$A$24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'Practice set 2'!$B$9:$B$24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7538-4134-8F7B-3DBA52DCBFED}"/>
            </c:ext>
          </c:extLst>
        </c:ser>
        <c:dLbls>
          <c:showLegendKey val="0"/>
          <c:showVal val="0"/>
          <c:showCatName val="0"/>
          <c:showSerName val="0"/>
          <c:showPercent val="0"/>
          <c:showBubbleSize val="0"/>
        </c:dLbls>
        <c:gapWidth val="219"/>
        <c:overlap val="-27"/>
        <c:axId val="1890809536"/>
        <c:axId val="1761286544"/>
      </c:barChart>
      <c:catAx>
        <c:axId val="189080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86544"/>
        <c:crosses val="autoZero"/>
        <c:auto val="1"/>
        <c:lblAlgn val="ctr"/>
        <c:lblOffset val="100"/>
        <c:noMultiLvlLbl val="0"/>
      </c:catAx>
      <c:valAx>
        <c:axId val="176128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09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476250</xdr:colOff>
      <xdr:row>10</xdr:row>
      <xdr:rowOff>161925</xdr:rowOff>
    </xdr:from>
    <xdr:to>
      <xdr:col>18</xdr:col>
      <xdr:colOff>228600</xdr:colOff>
      <xdr:row>33</xdr:row>
      <xdr:rowOff>161925</xdr:rowOff>
    </xdr:to>
    <xdr:graphicFrame macro="">
      <xdr:nvGraphicFramePr>
        <xdr:cNvPr id="2" name="Chart 1">
          <a:extLst>
            <a:ext uri="{FF2B5EF4-FFF2-40B4-BE49-F238E27FC236}">
              <a16:creationId xmlns:a16="http://schemas.microsoft.com/office/drawing/2014/main" id="{D54A9BDA-F63F-7228-C139-499A9975B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EBE7E-D444-491D-A42D-5DB2977CE2E0}">
  <dimension ref="A1:V21"/>
  <sheetViews>
    <sheetView tabSelected="1" topLeftCell="D1" workbookViewId="0">
      <selection activeCell="F30" sqref="F30"/>
    </sheetView>
  </sheetViews>
  <sheetFormatPr defaultRowHeight="15" x14ac:dyDescent="0.25"/>
  <cols>
    <col min="1" max="1" width="11.85546875" bestFit="1" customWidth="1"/>
    <col min="2" max="2" width="15.5703125" bestFit="1" customWidth="1"/>
    <col min="3" max="3" width="27" bestFit="1" customWidth="1"/>
    <col min="4" max="4" width="22.85546875" bestFit="1" customWidth="1"/>
    <col min="5" max="5" width="29.140625" bestFit="1" customWidth="1"/>
    <col min="6" max="6" width="11" bestFit="1" customWidth="1"/>
    <col min="7" max="7" width="22" bestFit="1" customWidth="1"/>
    <col min="8" max="8" width="39.140625" bestFit="1" customWidth="1"/>
    <col min="10" max="10" width="32.85546875" bestFit="1" customWidth="1"/>
    <col min="12" max="12" width="10.7109375" bestFit="1" customWidth="1"/>
    <col min="15" max="15" width="18.85546875" bestFit="1" customWidth="1"/>
    <col min="17" max="17" width="8.85546875" customWidth="1"/>
  </cols>
  <sheetData>
    <row r="1" spans="1:22" x14ac:dyDescent="0.25">
      <c r="A1" s="1" t="s">
        <v>0</v>
      </c>
      <c r="B1" s="2" t="s">
        <v>1</v>
      </c>
      <c r="C1" s="2" t="s">
        <v>2</v>
      </c>
      <c r="D1" s="3" t="s">
        <v>3</v>
      </c>
      <c r="E1" s="2" t="s">
        <v>4</v>
      </c>
      <c r="F1" s="2" t="s">
        <v>5</v>
      </c>
      <c r="G1" s="2" t="s">
        <v>6</v>
      </c>
      <c r="H1" s="4" t="s">
        <v>7</v>
      </c>
      <c r="J1" s="12" t="s">
        <v>84</v>
      </c>
      <c r="L1" s="12" t="s">
        <v>85</v>
      </c>
      <c r="M1" s="12" t="s">
        <v>86</v>
      </c>
      <c r="O1" s="12" t="s">
        <v>87</v>
      </c>
      <c r="Q1" s="13" t="s">
        <v>88</v>
      </c>
      <c r="R1" s="13"/>
      <c r="S1" s="13"/>
      <c r="T1" s="13">
        <f>+G23</f>
        <v>0</v>
      </c>
      <c r="U1" s="13"/>
      <c r="V1" s="13"/>
    </row>
    <row r="2" spans="1:22" x14ac:dyDescent="0.25">
      <c r="A2" s="5" t="s">
        <v>8</v>
      </c>
      <c r="B2" s="6" t="s">
        <v>9</v>
      </c>
      <c r="C2" s="6" t="s">
        <v>10</v>
      </c>
      <c r="D2" s="7">
        <v>44971.640451388892</v>
      </c>
      <c r="E2" s="6" t="s">
        <v>11</v>
      </c>
      <c r="F2" s="6" t="s">
        <v>12</v>
      </c>
      <c r="G2" s="6" t="s">
        <v>13</v>
      </c>
      <c r="H2" s="8" t="s">
        <v>14</v>
      </c>
      <c r="J2" t="str">
        <f>_xlfn.TEXTJOIN(",",TRUE,F2:G2)</f>
        <v>457 Oak St,San Jose, CA, 95101</v>
      </c>
      <c r="L2" t="str" cm="1">
        <f t="array" ref="L2:M2">_xlfn.TEXTSPLIT(B2," ")</f>
        <v>Pam</v>
      </c>
      <c r="M2" t="str">
        <v>Beesly</v>
      </c>
      <c r="O2" t="str">
        <f>RIGHT(A2,4)</f>
        <v>3548</v>
      </c>
      <c r="Q2">
        <f>FIND(",",G2)+2</f>
        <v>11</v>
      </c>
      <c r="R2">
        <f>FIND(",",G2,Q2)</f>
        <v>13</v>
      </c>
      <c r="S2" t="str">
        <f>MID(G2,Q2,4)</f>
        <v xml:space="preserve">CA, </v>
      </c>
    </row>
    <row r="3" spans="1:22" x14ac:dyDescent="0.25">
      <c r="A3" s="5" t="s">
        <v>15</v>
      </c>
      <c r="B3" s="6" t="s">
        <v>16</v>
      </c>
      <c r="C3" s="6" t="s">
        <v>17</v>
      </c>
      <c r="D3" s="7">
        <v>45055.40662037037</v>
      </c>
      <c r="E3" s="6" t="s">
        <v>18</v>
      </c>
      <c r="F3" s="6" t="s">
        <v>19</v>
      </c>
      <c r="G3" s="6" t="s">
        <v>20</v>
      </c>
      <c r="H3" s="8" t="s">
        <v>21</v>
      </c>
      <c r="J3" t="str">
        <f t="shared" ref="J3:J21" si="0">_xlfn.TEXTJOIN(",",TRUE,F3:G3)</f>
        <v>203 Birch St,Chicago, IL, 60601</v>
      </c>
      <c r="L3" t="str" cm="1">
        <f t="array" ref="L3:M3">_xlfn.TEXTSPLIT(B3," ")</f>
        <v>Michael</v>
      </c>
      <c r="M3" t="str">
        <v>Scott</v>
      </c>
      <c r="O3" t="str">
        <f t="shared" ref="O3:O21" si="1">RIGHT(A3,4)</f>
        <v>3549</v>
      </c>
      <c r="Q3">
        <f t="shared" ref="Q3:Q13" si="2">FIND(",",G3)+2</f>
        <v>10</v>
      </c>
      <c r="R3">
        <f t="shared" ref="R3:R13" si="3">FIND(",",G3,Q3)</f>
        <v>12</v>
      </c>
      <c r="S3" t="str">
        <f t="shared" ref="S3:S13" si="4">MID(G3,Q3,4)</f>
        <v xml:space="preserve">IL, </v>
      </c>
    </row>
    <row r="4" spans="1:22" x14ac:dyDescent="0.25">
      <c r="A4" s="5" t="s">
        <v>22</v>
      </c>
      <c r="B4" s="6" t="s">
        <v>23</v>
      </c>
      <c r="C4" s="6" t="s">
        <v>24</v>
      </c>
      <c r="D4" s="7">
        <v>45128.729710648149</v>
      </c>
      <c r="E4" s="6" t="s">
        <v>25</v>
      </c>
      <c r="F4" s="6" t="s">
        <v>26</v>
      </c>
      <c r="G4" s="6" t="s">
        <v>20</v>
      </c>
      <c r="H4" s="8" t="s">
        <v>27</v>
      </c>
      <c r="J4" t="str">
        <f t="shared" si="0"/>
        <v>790 Pine St,Chicago, IL, 60601</v>
      </c>
      <c r="L4" t="str" cm="1">
        <f t="array" ref="L4:M4">_xlfn.TEXTSPLIT(B4," ")</f>
        <v>Kevin</v>
      </c>
      <c r="M4" t="str">
        <v>Malone</v>
      </c>
      <c r="O4" t="str">
        <f t="shared" si="1"/>
        <v>3550</v>
      </c>
      <c r="Q4">
        <f t="shared" si="2"/>
        <v>10</v>
      </c>
      <c r="R4">
        <f t="shared" si="3"/>
        <v>12</v>
      </c>
      <c r="S4" t="str">
        <f t="shared" si="4"/>
        <v xml:space="preserve">IL, </v>
      </c>
    </row>
    <row r="5" spans="1:22" x14ac:dyDescent="0.25">
      <c r="A5" s="5" t="s">
        <v>28</v>
      </c>
      <c r="B5" s="6" t="s">
        <v>9</v>
      </c>
      <c r="C5" s="6" t="s">
        <v>17</v>
      </c>
      <c r="D5" s="7">
        <v>45173.302187499998</v>
      </c>
      <c r="E5" s="6" t="s">
        <v>11</v>
      </c>
      <c r="F5" s="6" t="s">
        <v>12</v>
      </c>
      <c r="G5" s="6" t="s">
        <v>13</v>
      </c>
      <c r="H5" s="8" t="s">
        <v>14</v>
      </c>
      <c r="J5" t="str">
        <f t="shared" si="0"/>
        <v>457 Oak St,San Jose, CA, 95101</v>
      </c>
      <c r="L5" t="str" cm="1">
        <f t="array" ref="L5:M5">_xlfn.TEXTSPLIT(B5," ")</f>
        <v>Pam</v>
      </c>
      <c r="M5" t="str">
        <v>Beesly</v>
      </c>
      <c r="O5" t="str">
        <f t="shared" si="1"/>
        <v>3551</v>
      </c>
      <c r="Q5">
        <f t="shared" si="2"/>
        <v>11</v>
      </c>
      <c r="R5">
        <f t="shared" si="3"/>
        <v>13</v>
      </c>
      <c r="S5" t="str">
        <f t="shared" si="4"/>
        <v xml:space="preserve">CA, </v>
      </c>
    </row>
    <row r="6" spans="1:22" x14ac:dyDescent="0.25">
      <c r="A6" s="5" t="s">
        <v>29</v>
      </c>
      <c r="B6" s="6" t="s">
        <v>30</v>
      </c>
      <c r="C6" s="6" t="s">
        <v>31</v>
      </c>
      <c r="D6" s="7">
        <v>45248.70857638889</v>
      </c>
      <c r="E6" s="6" t="s">
        <v>32</v>
      </c>
      <c r="F6" s="6" t="s">
        <v>33</v>
      </c>
      <c r="G6" s="6" t="s">
        <v>34</v>
      </c>
      <c r="H6" s="8" t="s">
        <v>35</v>
      </c>
      <c r="J6" t="str">
        <f t="shared" si="0"/>
        <v>459 Oak St,Philadelphia, PA, 19101</v>
      </c>
      <c r="L6" t="str" cm="1">
        <f t="array" ref="L6:M6">_xlfn.TEXTSPLIT(B6," ")</f>
        <v>Jim</v>
      </c>
      <c r="M6" t="str">
        <v>Halpert</v>
      </c>
      <c r="O6" t="str">
        <f t="shared" si="1"/>
        <v>3552</v>
      </c>
      <c r="Q6">
        <f t="shared" si="2"/>
        <v>15</v>
      </c>
      <c r="R6">
        <f t="shared" si="3"/>
        <v>17</v>
      </c>
      <c r="S6" t="str">
        <f t="shared" si="4"/>
        <v xml:space="preserve">PA, </v>
      </c>
    </row>
    <row r="7" spans="1:22" x14ac:dyDescent="0.25">
      <c r="A7" s="5" t="s">
        <v>36</v>
      </c>
      <c r="B7" s="6" t="s">
        <v>37</v>
      </c>
      <c r="C7" s="6" t="s">
        <v>38</v>
      </c>
      <c r="D7" s="7">
        <v>45302.531921296293</v>
      </c>
      <c r="E7" s="6" t="s">
        <v>39</v>
      </c>
      <c r="F7" s="6" t="s">
        <v>40</v>
      </c>
      <c r="G7" s="6" t="s">
        <v>34</v>
      </c>
      <c r="H7" s="8" t="s">
        <v>41</v>
      </c>
      <c r="J7" t="str">
        <f t="shared" si="0"/>
        <v>204 Birch St,Philadelphia, PA, 19101</v>
      </c>
      <c r="L7" t="str" cm="1">
        <f t="array" ref="L7:M7">_xlfn.TEXTSPLIT(B7," ")</f>
        <v>Ryan</v>
      </c>
      <c r="M7" t="str">
        <v>Howard</v>
      </c>
      <c r="O7" t="str">
        <f t="shared" si="1"/>
        <v>3553</v>
      </c>
      <c r="Q7">
        <f t="shared" si="2"/>
        <v>15</v>
      </c>
      <c r="R7">
        <f t="shared" si="3"/>
        <v>17</v>
      </c>
      <c r="S7" t="str">
        <f t="shared" si="4"/>
        <v xml:space="preserve">PA, </v>
      </c>
    </row>
    <row r="8" spans="1:22" x14ac:dyDescent="0.25">
      <c r="A8" s="5" t="s">
        <v>42</v>
      </c>
      <c r="B8" s="6" t="s">
        <v>23</v>
      </c>
      <c r="C8" s="6" t="s">
        <v>17</v>
      </c>
      <c r="D8" s="7">
        <v>45354.687881944446</v>
      </c>
      <c r="E8" s="6" t="s">
        <v>25</v>
      </c>
      <c r="F8" s="6" t="s">
        <v>26</v>
      </c>
      <c r="G8" s="6" t="s">
        <v>20</v>
      </c>
      <c r="H8" s="8" t="s">
        <v>27</v>
      </c>
      <c r="J8" t="str">
        <f t="shared" si="0"/>
        <v>790 Pine St,Chicago, IL, 60601</v>
      </c>
      <c r="L8" t="str" cm="1">
        <f t="array" ref="L8:M8">_xlfn.TEXTSPLIT(B8," ")</f>
        <v>Kevin</v>
      </c>
      <c r="M8" t="str">
        <v>Malone</v>
      </c>
      <c r="O8" t="str">
        <f t="shared" si="1"/>
        <v>3554</v>
      </c>
      <c r="Q8">
        <f t="shared" si="2"/>
        <v>10</v>
      </c>
      <c r="R8">
        <f t="shared" si="3"/>
        <v>12</v>
      </c>
      <c r="S8" t="str">
        <f t="shared" si="4"/>
        <v xml:space="preserve">IL, </v>
      </c>
    </row>
    <row r="9" spans="1:22" x14ac:dyDescent="0.25">
      <c r="A9" s="5" t="s">
        <v>43</v>
      </c>
      <c r="B9" s="6" t="s">
        <v>37</v>
      </c>
      <c r="C9" s="6" t="s">
        <v>10</v>
      </c>
      <c r="D9" s="7">
        <v>45408.340810185182</v>
      </c>
      <c r="E9" s="6" t="s">
        <v>39</v>
      </c>
      <c r="F9" s="6" t="s">
        <v>40</v>
      </c>
      <c r="G9" s="6" t="s">
        <v>34</v>
      </c>
      <c r="H9" s="8" t="s">
        <v>41</v>
      </c>
      <c r="J9" t="str">
        <f t="shared" si="0"/>
        <v>204 Birch St,Philadelphia, PA, 19101</v>
      </c>
      <c r="L9" t="str" cm="1">
        <f t="array" ref="L9:M9">_xlfn.TEXTSPLIT(B9," ")</f>
        <v>Ryan</v>
      </c>
      <c r="M9" t="str">
        <v>Howard</v>
      </c>
      <c r="O9" t="str">
        <f t="shared" si="1"/>
        <v>3555</v>
      </c>
      <c r="Q9">
        <f t="shared" si="2"/>
        <v>15</v>
      </c>
      <c r="R9">
        <f t="shared" si="3"/>
        <v>17</v>
      </c>
      <c r="S9" t="str">
        <f t="shared" si="4"/>
        <v xml:space="preserve">PA, </v>
      </c>
    </row>
    <row r="10" spans="1:22" x14ac:dyDescent="0.25">
      <c r="A10" s="5" t="s">
        <v>44</v>
      </c>
      <c r="B10" s="6" t="s">
        <v>45</v>
      </c>
      <c r="C10" s="6" t="s">
        <v>31</v>
      </c>
      <c r="D10" s="7">
        <v>45458.743333333332</v>
      </c>
      <c r="E10" s="6" t="s">
        <v>46</v>
      </c>
      <c r="F10" s="6" t="s">
        <v>47</v>
      </c>
      <c r="G10" s="6" t="s">
        <v>20</v>
      </c>
      <c r="H10" s="8" t="s">
        <v>48</v>
      </c>
      <c r="J10" t="str">
        <f t="shared" si="0"/>
        <v>123 Elm St,Chicago, IL, 60601</v>
      </c>
      <c r="L10" t="str" cm="1">
        <f t="array" ref="L10:M10">_xlfn.TEXTSPLIT(B10," ")</f>
        <v>Stanley</v>
      </c>
      <c r="M10" t="str">
        <v>Hudson</v>
      </c>
      <c r="O10" t="str">
        <f t="shared" si="1"/>
        <v>3556</v>
      </c>
      <c r="Q10">
        <f t="shared" si="2"/>
        <v>10</v>
      </c>
      <c r="R10">
        <f t="shared" si="3"/>
        <v>12</v>
      </c>
      <c r="S10" t="str">
        <f t="shared" si="4"/>
        <v xml:space="preserve">IL, </v>
      </c>
    </row>
    <row r="11" spans="1:22" x14ac:dyDescent="0.25">
      <c r="A11" s="5" t="s">
        <v>49</v>
      </c>
      <c r="B11" s="6" t="s">
        <v>50</v>
      </c>
      <c r="C11" s="6" t="s">
        <v>24</v>
      </c>
      <c r="D11" s="7">
        <v>45480.608055555553</v>
      </c>
      <c r="E11" s="6" t="s">
        <v>51</v>
      </c>
      <c r="F11" s="6" t="s">
        <v>47</v>
      </c>
      <c r="G11" s="6" t="s">
        <v>52</v>
      </c>
      <c r="H11" s="8" t="s">
        <v>53</v>
      </c>
      <c r="J11" t="str">
        <f t="shared" si="0"/>
        <v>123 Elm St,Los Angeles, CA, 90001</v>
      </c>
      <c r="L11" t="str" cm="1">
        <f t="array" ref="L11:M11">_xlfn.TEXTSPLIT(B11," ")</f>
        <v>Angela</v>
      </c>
      <c r="M11" t="str">
        <v>Martin</v>
      </c>
      <c r="O11" t="str">
        <f t="shared" si="1"/>
        <v>3557</v>
      </c>
      <c r="Q11">
        <f t="shared" si="2"/>
        <v>14</v>
      </c>
      <c r="R11">
        <f t="shared" si="3"/>
        <v>16</v>
      </c>
      <c r="S11" t="str">
        <f t="shared" si="4"/>
        <v xml:space="preserve">CA, </v>
      </c>
    </row>
    <row r="12" spans="1:22" x14ac:dyDescent="0.25">
      <c r="A12" s="5" t="s">
        <v>54</v>
      </c>
      <c r="B12" s="6" t="s">
        <v>55</v>
      </c>
      <c r="C12" s="6" t="s">
        <v>31</v>
      </c>
      <c r="D12" s="7">
        <v>45455.284930555557</v>
      </c>
      <c r="E12" s="6" t="s">
        <v>56</v>
      </c>
      <c r="F12" s="6" t="s">
        <v>47</v>
      </c>
      <c r="G12" s="6" t="s">
        <v>57</v>
      </c>
      <c r="H12" s="8" t="s">
        <v>58</v>
      </c>
      <c r="J12" t="str">
        <f t="shared" si="0"/>
        <v>123 Elm St,San Diego, CA, 92101</v>
      </c>
      <c r="L12" t="str" cm="1">
        <f t="array" ref="L12:M12">_xlfn.TEXTSPLIT(B12," ")</f>
        <v>Dwight</v>
      </c>
      <c r="M12" t="str">
        <v>Schrute</v>
      </c>
      <c r="O12" t="str">
        <f t="shared" si="1"/>
        <v>3558</v>
      </c>
      <c r="Q12">
        <f t="shared" si="2"/>
        <v>12</v>
      </c>
      <c r="R12">
        <f t="shared" si="3"/>
        <v>14</v>
      </c>
      <c r="S12" t="str">
        <f t="shared" si="4"/>
        <v xml:space="preserve">CA, </v>
      </c>
    </row>
    <row r="13" spans="1:22" x14ac:dyDescent="0.25">
      <c r="A13" s="5" t="s">
        <v>59</v>
      </c>
      <c r="B13" s="6" t="s">
        <v>60</v>
      </c>
      <c r="C13" s="6" t="s">
        <v>38</v>
      </c>
      <c r="D13" s="7">
        <v>44951.552141203705</v>
      </c>
      <c r="E13" s="6" t="s">
        <v>61</v>
      </c>
      <c r="F13" s="6" t="s">
        <v>62</v>
      </c>
      <c r="G13" s="6" t="s">
        <v>20</v>
      </c>
      <c r="H13" s="8" t="s">
        <v>63</v>
      </c>
      <c r="J13" t="str">
        <f t="shared" si="0"/>
        <v>202 Birch St,Chicago, IL, 60601</v>
      </c>
      <c r="L13" t="str" cm="1">
        <f t="array" ref="L13:M13">_xlfn.TEXTSPLIT(B13," ")</f>
        <v>Oscar</v>
      </c>
      <c r="M13" t="str">
        <v>Martinez</v>
      </c>
      <c r="O13" t="str">
        <f t="shared" si="1"/>
        <v>3559</v>
      </c>
      <c r="Q13">
        <f t="shared" si="2"/>
        <v>10</v>
      </c>
      <c r="R13">
        <f t="shared" si="3"/>
        <v>12</v>
      </c>
      <c r="S13" t="str">
        <f t="shared" si="4"/>
        <v xml:space="preserve">IL, </v>
      </c>
    </row>
    <row r="14" spans="1:22" x14ac:dyDescent="0.25">
      <c r="A14" s="5" t="s">
        <v>64</v>
      </c>
      <c r="B14" s="6" t="s">
        <v>37</v>
      </c>
      <c r="C14" s="6" t="s">
        <v>24</v>
      </c>
      <c r="D14" s="7">
        <v>45002.490034722221</v>
      </c>
      <c r="E14" s="6" t="s">
        <v>39</v>
      </c>
      <c r="F14" s="6" t="s">
        <v>40</v>
      </c>
      <c r="G14" s="6" t="s">
        <v>34</v>
      </c>
      <c r="H14" s="8" t="s">
        <v>41</v>
      </c>
      <c r="J14" t="str">
        <f t="shared" si="0"/>
        <v>204 Birch St,Philadelphia, PA, 19101</v>
      </c>
      <c r="L14" t="str" cm="1">
        <f t="array" ref="L14:M14">_xlfn.TEXTSPLIT(B14," ")</f>
        <v>Ryan</v>
      </c>
      <c r="M14" t="str">
        <v>Howard</v>
      </c>
      <c r="O14" t="str">
        <f t="shared" si="1"/>
        <v>3560</v>
      </c>
      <c r="Q14">
        <f>FIND(",",G14)+2</f>
        <v>15</v>
      </c>
      <c r="R14">
        <f>FIND(",",G14,Q14)</f>
        <v>17</v>
      </c>
      <c r="S14" t="str">
        <f>MID(G14,Q14,4)</f>
        <v xml:space="preserve">PA, </v>
      </c>
    </row>
    <row r="15" spans="1:22" x14ac:dyDescent="0.25">
      <c r="A15" s="5" t="s">
        <v>65</v>
      </c>
      <c r="B15" s="6" t="s">
        <v>66</v>
      </c>
      <c r="C15" s="6" t="s">
        <v>38</v>
      </c>
      <c r="D15" s="7">
        <v>45078.417256944442</v>
      </c>
      <c r="E15" s="6" t="s">
        <v>67</v>
      </c>
      <c r="F15" s="6" t="s">
        <v>47</v>
      </c>
      <c r="G15" s="6" t="s">
        <v>20</v>
      </c>
      <c r="H15" s="8" t="s">
        <v>68</v>
      </c>
      <c r="J15" t="str">
        <f t="shared" si="0"/>
        <v>123 Elm St,Chicago, IL, 60601</v>
      </c>
      <c r="L15" t="str" cm="1">
        <f t="array" ref="L15:M15">_xlfn.TEXTSPLIT(B15," ")</f>
        <v>Phyllis</v>
      </c>
      <c r="M15" t="str">
        <v>Vance</v>
      </c>
      <c r="O15" t="str">
        <f t="shared" si="1"/>
        <v>3561</v>
      </c>
      <c r="Q15">
        <f t="shared" ref="Q15:Q21" si="5">FIND(",",G15)+2</f>
        <v>10</v>
      </c>
      <c r="R15">
        <f t="shared" ref="R15:R21" si="6">FIND(",",G15,Q15)</f>
        <v>12</v>
      </c>
      <c r="S15" t="str">
        <f t="shared" ref="S15:S21" si="7">MID(G15,Q15,4)</f>
        <v xml:space="preserve">IL, </v>
      </c>
    </row>
    <row r="16" spans="1:22" x14ac:dyDescent="0.25">
      <c r="A16" s="5" t="s">
        <v>69</v>
      </c>
      <c r="B16" s="6" t="s">
        <v>70</v>
      </c>
      <c r="C16" s="6" t="s">
        <v>38</v>
      </c>
      <c r="D16" s="7">
        <v>45168.729328703703</v>
      </c>
      <c r="E16" s="6" t="s">
        <v>71</v>
      </c>
      <c r="F16" s="6" t="s">
        <v>72</v>
      </c>
      <c r="G16" s="6" t="s">
        <v>20</v>
      </c>
      <c r="H16" s="8" t="s">
        <v>73</v>
      </c>
      <c r="J16" t="str">
        <f t="shared" si="0"/>
        <v>456 Oak St,Chicago, IL, 60601</v>
      </c>
      <c r="L16" t="str" cm="1">
        <f t="array" ref="L16:M16">_xlfn.TEXTSPLIT(B16," ")</f>
        <v>Meredith</v>
      </c>
      <c r="M16" t="str">
        <v>Palmer</v>
      </c>
      <c r="O16" t="str">
        <f t="shared" si="1"/>
        <v>3562</v>
      </c>
      <c r="Q16">
        <f t="shared" si="5"/>
        <v>10</v>
      </c>
      <c r="R16">
        <f t="shared" si="6"/>
        <v>12</v>
      </c>
      <c r="S16" t="str">
        <f t="shared" si="7"/>
        <v xml:space="preserve">IL, </v>
      </c>
    </row>
    <row r="17" spans="1:19" x14ac:dyDescent="0.25">
      <c r="A17" s="5" t="s">
        <v>74</v>
      </c>
      <c r="B17" s="6" t="s">
        <v>16</v>
      </c>
      <c r="C17" s="6" t="s">
        <v>31</v>
      </c>
      <c r="D17" s="7">
        <v>45218.319780092592</v>
      </c>
      <c r="E17" s="6" t="s">
        <v>18</v>
      </c>
      <c r="F17" s="6" t="s">
        <v>19</v>
      </c>
      <c r="G17" s="6" t="s">
        <v>75</v>
      </c>
      <c r="H17" s="8" t="s">
        <v>21</v>
      </c>
      <c r="J17" t="str">
        <f t="shared" si="0"/>
        <v>203 Birch St,Chicago, IL, 60602</v>
      </c>
      <c r="L17" t="str" cm="1">
        <f t="array" ref="L17:M17">_xlfn.TEXTSPLIT(B17," ")</f>
        <v>Michael</v>
      </c>
      <c r="M17" t="str">
        <v>Scott</v>
      </c>
      <c r="O17" t="str">
        <f t="shared" si="1"/>
        <v>3563</v>
      </c>
      <c r="Q17">
        <f t="shared" si="5"/>
        <v>10</v>
      </c>
      <c r="R17">
        <f t="shared" si="6"/>
        <v>12</v>
      </c>
      <c r="S17" t="str">
        <f t="shared" si="7"/>
        <v xml:space="preserve">IL, </v>
      </c>
    </row>
    <row r="18" spans="1:19" x14ac:dyDescent="0.25">
      <c r="A18" s="5" t="s">
        <v>76</v>
      </c>
      <c r="B18" s="6" t="s">
        <v>30</v>
      </c>
      <c r="C18" s="6" t="s">
        <v>24</v>
      </c>
      <c r="D18" s="7">
        <v>45350.719236111108</v>
      </c>
      <c r="E18" s="6" t="s">
        <v>32</v>
      </c>
      <c r="F18" s="6" t="s">
        <v>33</v>
      </c>
      <c r="G18" s="6" t="s">
        <v>34</v>
      </c>
      <c r="H18" s="8" t="s">
        <v>35</v>
      </c>
      <c r="J18" t="str">
        <f t="shared" si="0"/>
        <v>459 Oak St,Philadelphia, PA, 19101</v>
      </c>
      <c r="L18" t="str" cm="1">
        <f t="array" ref="L18:M18">_xlfn.TEXTSPLIT(B18," ")</f>
        <v>Jim</v>
      </c>
      <c r="M18" t="str">
        <v>Halpert</v>
      </c>
      <c r="O18" t="str">
        <f t="shared" si="1"/>
        <v>3564</v>
      </c>
      <c r="Q18">
        <f t="shared" si="5"/>
        <v>15</v>
      </c>
      <c r="R18">
        <f t="shared" si="6"/>
        <v>17</v>
      </c>
      <c r="S18" t="str">
        <f t="shared" si="7"/>
        <v xml:space="preserve">PA, </v>
      </c>
    </row>
    <row r="19" spans="1:19" x14ac:dyDescent="0.25">
      <c r="A19" s="5" t="s">
        <v>77</v>
      </c>
      <c r="B19" s="6" t="s">
        <v>78</v>
      </c>
      <c r="C19" s="6" t="s">
        <v>31</v>
      </c>
      <c r="D19" s="7">
        <v>45418.726354166669</v>
      </c>
      <c r="E19" s="6" t="s">
        <v>79</v>
      </c>
      <c r="F19" s="6" t="s">
        <v>72</v>
      </c>
      <c r="G19" s="6" t="s">
        <v>80</v>
      </c>
      <c r="H19" s="8" t="s">
        <v>81</v>
      </c>
      <c r="J19" t="str">
        <f t="shared" si="0"/>
        <v>456 Oak St,New York, NY, 10001</v>
      </c>
      <c r="L19" t="str" cm="1">
        <f t="array" ref="L19:M19">_xlfn.TEXTSPLIT(B19," ")</f>
        <v>Kelly</v>
      </c>
      <c r="M19" t="str">
        <v>Kapoor</v>
      </c>
      <c r="O19" t="str">
        <f t="shared" si="1"/>
        <v>3565</v>
      </c>
      <c r="Q19">
        <f t="shared" si="5"/>
        <v>11</v>
      </c>
      <c r="R19">
        <f t="shared" si="6"/>
        <v>13</v>
      </c>
      <c r="S19" t="str">
        <f t="shared" si="7"/>
        <v xml:space="preserve">NY, </v>
      </c>
    </row>
    <row r="20" spans="1:19" x14ac:dyDescent="0.25">
      <c r="A20" s="5" t="s">
        <v>82</v>
      </c>
      <c r="B20" s="6" t="s">
        <v>30</v>
      </c>
      <c r="C20" s="6" t="s">
        <v>38</v>
      </c>
      <c r="D20" s="7">
        <v>45496.291701388887</v>
      </c>
      <c r="E20" s="6" t="s">
        <v>32</v>
      </c>
      <c r="F20" s="6" t="s">
        <v>33</v>
      </c>
      <c r="G20" s="6" t="s">
        <v>34</v>
      </c>
      <c r="H20" s="8" t="s">
        <v>35</v>
      </c>
      <c r="J20" t="str">
        <f t="shared" si="0"/>
        <v>459 Oak St,Philadelphia, PA, 19101</v>
      </c>
      <c r="L20" t="str" cm="1">
        <f t="array" ref="L20:M20">_xlfn.TEXTSPLIT(B20," ")</f>
        <v>Jim</v>
      </c>
      <c r="M20" t="str">
        <v>Halpert</v>
      </c>
      <c r="O20" t="str">
        <f t="shared" si="1"/>
        <v>3566</v>
      </c>
      <c r="Q20">
        <f t="shared" si="5"/>
        <v>15</v>
      </c>
      <c r="R20">
        <f t="shared" si="6"/>
        <v>17</v>
      </c>
      <c r="S20" t="str">
        <f t="shared" si="7"/>
        <v xml:space="preserve">PA, </v>
      </c>
    </row>
    <row r="21" spans="1:19" ht="15.75" thickBot="1" x14ac:dyDescent="0.3">
      <c r="A21" s="5" t="s">
        <v>83</v>
      </c>
      <c r="B21" s="9" t="s">
        <v>30</v>
      </c>
      <c r="C21" s="9" t="s">
        <v>38</v>
      </c>
      <c r="D21" s="10">
        <v>45422.739884259259</v>
      </c>
      <c r="E21" s="9" t="s">
        <v>32</v>
      </c>
      <c r="F21" s="9" t="s">
        <v>33</v>
      </c>
      <c r="G21" s="9" t="s">
        <v>80</v>
      </c>
      <c r="H21" s="11" t="s">
        <v>35</v>
      </c>
      <c r="J21" t="str">
        <f t="shared" si="0"/>
        <v>459 Oak St,New York, NY, 10001</v>
      </c>
      <c r="L21" t="str" cm="1">
        <f t="array" ref="L21:M21">_xlfn.TEXTSPLIT(B21," ")</f>
        <v>Jim</v>
      </c>
      <c r="M21" t="str">
        <v>Halpert</v>
      </c>
      <c r="O21" t="str">
        <f t="shared" si="1"/>
        <v>3567</v>
      </c>
      <c r="Q21">
        <f t="shared" si="5"/>
        <v>11</v>
      </c>
      <c r="R21">
        <f t="shared" si="6"/>
        <v>13</v>
      </c>
      <c r="S21" t="str">
        <f t="shared" si="7"/>
        <v xml:space="preserve">NY, </v>
      </c>
    </row>
  </sheetData>
  <mergeCells count="2">
    <mergeCell ref="Q1:S1"/>
    <mergeCell ref="T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22B0-2F93-488D-80EB-590664C2C06F}">
  <dimension ref="A1:BW32"/>
  <sheetViews>
    <sheetView topLeftCell="A2" workbookViewId="0">
      <selection activeCell="T24" sqref="T24"/>
    </sheetView>
  </sheetViews>
  <sheetFormatPr defaultRowHeight="15" x14ac:dyDescent="0.25"/>
  <sheetData>
    <row r="1" spans="1:75" x14ac:dyDescent="0.25">
      <c r="A1" s="14" t="s">
        <v>89</v>
      </c>
      <c r="B1" s="15"/>
    </row>
    <row r="2" spans="1:75" x14ac:dyDescent="0.25">
      <c r="A2" t="str">
        <f>_xlfn.TEXTJOIN(", ",TRUE,'Data+practice'!H2:H21)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4" spans="1:75" x14ac:dyDescent="0.25">
      <c r="A4" s="14" t="s">
        <v>90</v>
      </c>
      <c r="B4" s="15"/>
    </row>
    <row r="6" spans="1:75" x14ac:dyDescent="0.25">
      <c r="A6" t="str" cm="1">
        <f t="array" ref="A6:BW6">_xlfn.TEXTSPLIT(A2,",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4" t="s">
        <v>91</v>
      </c>
      <c r="B8" s="14" t="s">
        <v>92</v>
      </c>
      <c r="C8" s="15"/>
      <c r="D8" s="15"/>
      <c r="E8" s="15"/>
    </row>
    <row r="9" spans="1:75" x14ac:dyDescent="0.25">
      <c r="A9" s="6" t="str" cm="1">
        <f t="array" ref="A9:A25">_xlfn.UNIQUE(TRANSPOSE(6:6))</f>
        <v>Kafka</v>
      </c>
      <c r="B9" s="6">
        <f>COUNTIF($6:$6,A9)</f>
        <v>3</v>
      </c>
    </row>
    <row r="10" spans="1:75" x14ac:dyDescent="0.25">
      <c r="A10" s="6" t="str">
        <v>DataBricks</v>
      </c>
      <c r="B10" s="6">
        <f t="shared" ref="B10:B25" si="0">COUNTIF($6:$6,A10)</f>
        <v>12</v>
      </c>
    </row>
    <row r="11" spans="1:75" x14ac:dyDescent="0.25">
      <c r="A11" s="6" t="str">
        <v>Spark</v>
      </c>
      <c r="B11" s="6">
        <f t="shared" si="0"/>
        <v>2</v>
      </c>
    </row>
    <row r="12" spans="1:75" x14ac:dyDescent="0.25">
      <c r="A12" s="6" t="str">
        <v>Python</v>
      </c>
      <c r="B12" s="6">
        <f t="shared" si="0"/>
        <v>2</v>
      </c>
    </row>
    <row r="13" spans="1:75" x14ac:dyDescent="0.25">
      <c r="A13" s="6" t="str">
        <v>GCP</v>
      </c>
      <c r="B13" s="6">
        <f t="shared" si="0"/>
        <v>4</v>
      </c>
    </row>
    <row r="14" spans="1:75" x14ac:dyDescent="0.25">
      <c r="A14" s="6" t="str">
        <v>Power BI</v>
      </c>
      <c r="B14" s="6">
        <f t="shared" si="0"/>
        <v>5</v>
      </c>
    </row>
    <row r="15" spans="1:75" x14ac:dyDescent="0.25">
      <c r="A15" s="6" t="str">
        <v>Airflow</v>
      </c>
      <c r="B15" s="6">
        <f t="shared" si="0"/>
        <v>6</v>
      </c>
    </row>
    <row r="16" spans="1:75" x14ac:dyDescent="0.25">
      <c r="A16" s="6" t="str">
        <v>Hadoop</v>
      </c>
      <c r="B16" s="6">
        <f t="shared" si="0"/>
        <v>7</v>
      </c>
    </row>
    <row r="17" spans="1:2" x14ac:dyDescent="0.25">
      <c r="A17" s="6" t="str">
        <v>R</v>
      </c>
      <c r="B17" s="6">
        <f t="shared" si="0"/>
        <v>6</v>
      </c>
    </row>
    <row r="18" spans="1:2" x14ac:dyDescent="0.25">
      <c r="A18" s="6" t="str">
        <v>Azure</v>
      </c>
      <c r="B18" s="6">
        <f t="shared" si="0"/>
        <v>4</v>
      </c>
    </row>
    <row r="19" spans="1:2" x14ac:dyDescent="0.25">
      <c r="A19" s="6" t="str">
        <v>Java</v>
      </c>
      <c r="B19" s="6">
        <f t="shared" si="0"/>
        <v>7</v>
      </c>
    </row>
    <row r="20" spans="1:2" x14ac:dyDescent="0.25">
      <c r="A20" s="6" t="str">
        <v>SQL</v>
      </c>
      <c r="B20" s="6">
        <f t="shared" si="0"/>
        <v>4</v>
      </c>
    </row>
    <row r="21" spans="1:2" x14ac:dyDescent="0.25">
      <c r="A21" s="6" t="str">
        <v>Snowflake</v>
      </c>
      <c r="B21" s="6">
        <f t="shared" si="0"/>
        <v>5</v>
      </c>
    </row>
    <row r="22" spans="1:2" x14ac:dyDescent="0.25">
      <c r="A22" s="6" t="str">
        <v>Scala</v>
      </c>
      <c r="B22" s="6">
        <f t="shared" si="0"/>
        <v>5</v>
      </c>
    </row>
    <row r="23" spans="1:2" x14ac:dyDescent="0.25">
      <c r="A23" s="6" t="str">
        <v>Excel</v>
      </c>
      <c r="B23" s="6">
        <f t="shared" si="0"/>
        <v>2</v>
      </c>
    </row>
    <row r="24" spans="1:2" x14ac:dyDescent="0.25">
      <c r="A24" s="6" t="str">
        <v>Tableau</v>
      </c>
      <c r="B24" s="6">
        <f t="shared" si="0"/>
        <v>1</v>
      </c>
    </row>
    <row r="25" spans="1:2" x14ac:dyDescent="0.25">
      <c r="A25" s="6">
        <v>0</v>
      </c>
      <c r="B25" s="6">
        <f t="shared" si="0"/>
        <v>0</v>
      </c>
    </row>
    <row r="26" spans="1:2" x14ac:dyDescent="0.25">
      <c r="A26" s="6"/>
      <c r="B26" s="6"/>
    </row>
    <row r="27" spans="1:2" x14ac:dyDescent="0.25">
      <c r="A27" s="6"/>
      <c r="B27" s="6"/>
    </row>
    <row r="28" spans="1:2" x14ac:dyDescent="0.25">
      <c r="A28" s="6"/>
      <c r="B28" s="6"/>
    </row>
    <row r="29" spans="1:2" x14ac:dyDescent="0.25">
      <c r="A29" s="6"/>
      <c r="B29" s="6"/>
    </row>
    <row r="30" spans="1:2" x14ac:dyDescent="0.25">
      <c r="A30" s="6"/>
      <c r="B30" s="6"/>
    </row>
    <row r="31" spans="1:2" x14ac:dyDescent="0.25">
      <c r="A31" s="6"/>
      <c r="B31" s="6"/>
    </row>
    <row r="32" spans="1:2" x14ac:dyDescent="0.25">
      <c r="A32" s="6"/>
      <c r="B32"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Data+practice</vt:lpstr>
      <vt:lpstr>Practice set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mdwashiful@outlook.com</dc:creator>
  <cp:lastModifiedBy>mdwashiful@outlook.com</cp:lastModifiedBy>
  <dcterms:created xsi:type="dcterms:W3CDTF">2026-08-25T13:10:03Z</dcterms:created>
  <dcterms:modified xsi:type="dcterms:W3CDTF">2026-08-25T14:00:56Z</dcterms:modified>
</cp:coreProperties>
</file>