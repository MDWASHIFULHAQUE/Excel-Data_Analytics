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13_ncr:1_{BA3DBCA8-DDB9-44A4-BF74-40F465A1DB5E}" xr6:coauthVersionLast="47" xr6:coauthVersionMax="47" xr10:uidLastSave="{00000000-0000-0000-0000-000000000000}"/>
  <bookViews>
    <workbookView xWindow="-120" yWindow="-120" windowWidth="29040" windowHeight="15720" xr2:uid="{A0B93C68-C6A7-458C-B66E-0579C777A062}"/>
  </bookViews>
  <sheets>
    <sheet name="Practice" sheetId="1" r:id="rId1"/>
  </sheets>
  <externalReferences>
    <externalReference r:id="rId2"/>
  </externalReferences>
  <definedNames>
    <definedName name="_xlnm._FilterDatabase" localSheetId="0" hidden="1">Practice!$A$1:$J$21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A1" i="1" a="1"/>
  <c r="J3" i="1" l="1" a="1"/>
  <c r="I6" i="1"/>
  <c r="J9" i="1" a="1"/>
  <c r="J15" i="1" a="1"/>
  <c r="J16" i="1" a="1"/>
  <c r="J19" i="1" a="1"/>
  <c r="I5" i="1"/>
  <c r="J2" i="1" a="1"/>
  <c r="I3" i="1"/>
  <c r="I8" i="1"/>
  <c r="I9" i="1"/>
  <c r="I10" i="1"/>
  <c r="I11" i="1"/>
  <c r="I12" i="1"/>
  <c r="I13" i="1"/>
  <c r="I18" i="1"/>
  <c r="I20" i="1"/>
  <c r="J10" i="1" a="1"/>
  <c r="J14" i="1" a="1"/>
  <c r="J21" i="1" a="1"/>
  <c r="I14" i="1"/>
  <c r="I15" i="1"/>
  <c r="I16" i="1"/>
  <c r="I17" i="1"/>
  <c r="I19" i="1"/>
  <c r="J11" i="1" a="1"/>
  <c r="I21" i="1"/>
  <c r="I2" i="1"/>
  <c r="J4" i="1" a="1"/>
  <c r="J7" i="1" a="1"/>
  <c r="J5" i="1" a="1"/>
  <c r="I4" i="1"/>
  <c r="J6" i="1" a="1"/>
  <c r="J13" i="1" a="1"/>
  <c r="J18" i="1" a="1"/>
  <c r="I7" i="1"/>
  <c r="J12" i="1" a="1"/>
  <c r="J8" i="1" a="1"/>
  <c r="J17" i="1" a="1"/>
  <c r="J20" i="1" a="1"/>
  <c r="F12" i="1"/>
  <c r="F16" i="1"/>
  <c r="F19" i="1"/>
  <c r="H7" i="1"/>
  <c r="H8" i="1"/>
  <c r="H9" i="1"/>
  <c r="H11" i="1"/>
  <c r="H16" i="1"/>
  <c r="G4" i="1"/>
  <c r="H14" i="1"/>
  <c r="H18" i="1"/>
  <c r="F20" i="1"/>
  <c r="H3" i="1"/>
  <c r="H20" i="1"/>
  <c r="H21" i="1"/>
  <c r="H2" i="1"/>
  <c r="G2" i="1"/>
  <c r="G3" i="1"/>
  <c r="F14" i="1"/>
  <c r="F18" i="1"/>
  <c r="H4" i="1"/>
  <c r="H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H6" i="1"/>
  <c r="G19" i="1"/>
  <c r="G20" i="1"/>
  <c r="G21" i="1"/>
  <c r="F7" i="1"/>
  <c r="F8" i="1"/>
  <c r="F9" i="1"/>
  <c r="F11" i="1"/>
  <c r="F13" i="1"/>
  <c r="F15" i="1"/>
  <c r="F17" i="1"/>
  <c r="F21" i="1"/>
  <c r="G18" i="1"/>
  <c r="H10" i="1"/>
  <c r="H12" i="1"/>
  <c r="H13" i="1"/>
  <c r="H15" i="1"/>
  <c r="H17" i="1"/>
  <c r="H19" i="1"/>
  <c r="F10" i="1"/>
  <c r="F3" i="1"/>
  <c r="F4" i="1"/>
  <c r="F5" i="1"/>
  <c r="F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3" i="1"/>
  <c r="C4" i="1"/>
  <c r="C5" i="1"/>
  <c r="C6" i="1"/>
  <c r="C7" i="1"/>
  <c r="C8" i="1"/>
  <c r="C9" i="1"/>
  <c r="C10" i="1"/>
  <c r="C11" i="1"/>
  <c r="C12" i="1"/>
  <c r="C13" i="1"/>
  <c r="C19" i="1"/>
  <c r="C2" i="1"/>
  <c r="C14" i="1"/>
  <c r="C15" i="1"/>
  <c r="C16" i="1"/>
  <c r="C17" i="1"/>
  <c r="C18" i="1"/>
  <c r="C20" i="1"/>
  <c r="C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<sst xmlns="http://schemas.openxmlformats.org/spreadsheetml/2006/main" count="7" uniqueCount="7">
  <si>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Data Analyst</t>
  </si>
  <si>
    <t>Business Analyst</t>
  </si>
  <si>
    <t>Both Roles</t>
  </si>
  <si>
    <t>Buckets</t>
  </si>
  <si>
    <t>AND function</t>
  </si>
  <si>
    <t>OR function</t>
  </si>
  <si>
    <t>Both roles using logical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</si>
</sst>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3_Logical_Functions.xlsx" TargetMode="External"/><Relationship Id="rId2" Type="http://schemas.openxmlformats.org/officeDocument/2006/relationships/externalLinkPath" Target="file:///C:\Users\MD%20WASHIFUL%20HAQUE\Downloads\3_Logical_Functions.xlsx" TargetMode="External"/><Relationship Id="rId1" Type="http://schemas.openxmlformats.org/officeDocument/2006/relationships/externalLinkPath" Target="/Users/MD%20WASHIFUL%20HAQUE/Downloads/3_Logical_Fun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_1"/>
      <sheetName val="Final_1"/>
      <sheetName val="Data_2"/>
      <sheetName val="Final_2"/>
      <sheetName val="Errors"/>
      <sheetName val="And-Or"/>
    </sheetNames>
    <sheetDataSet>
      <sheetData sheetId="0"/>
      <sheetData sheetId="1"/>
      <sheetData sheetId="2">
        <row r="1">
          <cell r="A1" t="str">
            <v>job_title_short</v>
          </cell>
          <cell r="H1" t="str">
            <v>salary_year_avg</v>
          </cell>
        </row>
        <row r="2">
          <cell r="A2" t="str">
            <v>Senior Data Engineer</v>
          </cell>
          <cell r="H2">
            <v>135000</v>
          </cell>
        </row>
        <row r="3">
          <cell r="A3" t="str">
            <v>Data Analyst</v>
          </cell>
          <cell r="H3">
            <v>35000</v>
          </cell>
        </row>
        <row r="4">
          <cell r="A4" t="str">
            <v>Data Analyst</v>
          </cell>
          <cell r="H4"/>
        </row>
        <row r="5">
          <cell r="A5" t="str">
            <v>Data Scientist</v>
          </cell>
          <cell r="H5"/>
        </row>
        <row r="6">
          <cell r="A6" t="str">
            <v>Senior Data Analyst</v>
          </cell>
          <cell r="H6"/>
        </row>
        <row r="7">
          <cell r="A7" t="str">
            <v>Data Scientist</v>
          </cell>
          <cell r="H7"/>
        </row>
        <row r="8">
          <cell r="A8" t="str">
            <v>Data Analyst</v>
          </cell>
          <cell r="H8"/>
        </row>
        <row r="9">
          <cell r="A9" t="str">
            <v>Data Analyst</v>
          </cell>
          <cell r="H9">
            <v>115000</v>
          </cell>
        </row>
        <row r="10">
          <cell r="A10" t="str">
            <v>Data Analyst</v>
          </cell>
          <cell r="H10"/>
        </row>
        <row r="11">
          <cell r="A11" t="str">
            <v>Data Analyst</v>
          </cell>
          <cell r="H11">
            <v>105000</v>
          </cell>
        </row>
        <row r="12">
          <cell r="A12" t="str">
            <v>Data Scientist</v>
          </cell>
          <cell r="H12">
            <v>195000</v>
          </cell>
        </row>
        <row r="13">
          <cell r="A13" t="str">
            <v>Senior Data Scientist</v>
          </cell>
          <cell r="H13">
            <v>165000</v>
          </cell>
        </row>
        <row r="14">
          <cell r="A14" t="str">
            <v>Data Scientist</v>
          </cell>
          <cell r="H14">
            <v>281450.5</v>
          </cell>
        </row>
        <row r="15">
          <cell r="A15" t="str">
            <v>Data Scientist</v>
          </cell>
          <cell r="H15">
            <v>70000</v>
          </cell>
        </row>
        <row r="16">
          <cell r="A16" t="str">
            <v>Data Engineer</v>
          </cell>
          <cell r="H16">
            <v>98301.5</v>
          </cell>
        </row>
        <row r="17">
          <cell r="A17" t="str">
            <v>Data Engineer</v>
          </cell>
          <cell r="H17">
            <v>89100</v>
          </cell>
        </row>
        <row r="18">
          <cell r="A18" t="str">
            <v>Business Analyst</v>
          </cell>
          <cell r="H18"/>
        </row>
        <row r="19">
          <cell r="A19" t="str">
            <v>Data Scientist</v>
          </cell>
          <cell r="H19">
            <v>87500</v>
          </cell>
        </row>
        <row r="20">
          <cell r="A20" t="str">
            <v>Data Scientist</v>
          </cell>
          <cell r="H20"/>
        </row>
        <row r="21">
          <cell r="A21" t="str">
            <v>Business Analyst</v>
          </cell>
          <cell r="H21">
            <v>90000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FD5C-813B-4A5A-9840-F26085DAEA07}">
  <dimension ref="A1:J21"/>
  <sheetViews>
    <sheetView tabSelected="1" zoomScale="164" workbookViewId="0">
      <selection sqref="A1:J1"/>
    </sheetView>
  </sheetViews>
  <sheetFormatPr defaultRowHeight="15" x14ac:dyDescent="0.25"/>
  <cols>
    <col min="1" max="1" width="19.42578125" bestFit="1" customWidth="1"/>
    <col min="2" max="2" width="15" bestFit="1" customWidth="1"/>
    <col min="3" max="3" width="12" bestFit="1" customWidth="1"/>
    <col min="4" max="4" width="16" bestFit="1" customWidth="1"/>
    <col min="5" max="5" width="18.28515625" customWidth="1"/>
    <col min="6" max="6" width="12.5703125" bestFit="1" customWidth="1"/>
    <col min="7" max="7" width="11.28515625" bestFit="1" customWidth="1"/>
    <col min="8" max="8" width="30" customWidth="1"/>
    <col min="9" max="9" width="16.28515625" customWidth="1"/>
    <col min="10" max="10" width="12.42578125" bestFit="1" customWidth="1"/>
  </cols>
  <sheetData>
    <row r="1" spans="1:10" x14ac:dyDescent="0.25">
      <c r="A1" s="3" t="str" cm="1">
        <f t="array" ref="A1:A21">[1]Data_2!$A$1:$A$21</f>
        <v>job_title_short</v>
      </c>
      <c r="B1" s="3" t="str" cm="1">
        <f t="array" ref="B1:B21">[1]Data_2!$H$1:$H$21</f>
        <v>salary_year_avg</v>
      </c>
      <c r="C1" s="3" t="s">
        <v>0</v>
      </c>
      <c r="D1" s="3" t="s">
        <v>1</v>
      </c>
      <c r="E1" s="3" t="s">
        <v>2</v>
      </c>
      <c r="F1" s="3" t="s">
        <v>4</v>
      </c>
      <c r="G1" s="3" t="s">
        <v>5</v>
      </c>
      <c r="H1" s="3" t="s">
        <v>6</v>
      </c>
      <c r="I1" s="3">
        <v>85000</v>
      </c>
      <c r="J1" s="3" t="s">
        <v>3</v>
      </c>
    </row>
    <row r="2" spans="1:10" x14ac:dyDescent="0.25">
      <c r="A2" s="1" t="str">
        <v>Senior Data Engineer</v>
      </c>
      <c r="B2" s="1">
        <v>135000</v>
      </c>
      <c r="C2" s="1" t="str">
        <f>IF($A2=C$1,"Role Desired","NotDesired")</f>
        <v>NotDesired</v>
      </c>
      <c r="D2" s="1" t="str">
        <f>IF($A2=D$1,"Role Desired","NotDesired")</f>
        <v>NotDesired</v>
      </c>
      <c r="E2" s="1" t="str">
        <f>IF($A2=C$1,"Role Desired",IF($A2=D$1,"Role Desired","Not Desired"))</f>
        <v>Not Desired</v>
      </c>
      <c r="F2" s="1" t="b">
        <f>AND($A2=$C$1,$A2=$D$1)</f>
        <v>0</v>
      </c>
      <c r="G2" s="1" t="b">
        <f>OR($A2=$C$1,$A2=$D$1)</f>
        <v>0</v>
      </c>
      <c r="H2" s="1" t="str">
        <f>IF(OR($A2=$C$1,$A2=$D$1),"Role Desired","Not Desired")</f>
        <v>Not Desired</v>
      </c>
      <c r="I2" s="1" t="str">
        <f>IF($B2&gt;$I$1,"Salary&gt;85K","Salary low")</f>
        <v>Salary&gt;85K</v>
      </c>
      <c r="J2" s="1" t="str" cm="1">
        <f t="array" ref="J2">_xlfn.IFS($B2=0,"No Data",$B2&gt;=$I$1,"Salary&gt;$85K",TRUE,"Salary low")</f>
        <v>Salary&gt;$85K</v>
      </c>
    </row>
    <row r="3" spans="1:10" x14ac:dyDescent="0.25">
      <c r="A3" s="1" t="str">
        <v>Data Analyst</v>
      </c>
      <c r="B3" s="1">
        <v>35000</v>
      </c>
      <c r="C3" s="1" t="str">
        <f t="shared" ref="C3:D21" si="0">IF($A3=C$1,"Role Desired","NotDesired")</f>
        <v>Role Desired</v>
      </c>
      <c r="D3" s="1" t="str">
        <f t="shared" si="0"/>
        <v>NotDesired</v>
      </c>
      <c r="E3" s="1" t="str">
        <f t="shared" ref="E3:E21" si="1">IF($A3=C$1,"Role Desired",IF($A3=D$1,"Role Desired","Not Desired"))</f>
        <v>Role Desired</v>
      </c>
      <c r="F3" s="1" t="b">
        <f t="shared" ref="F3:F21" si="2">AND($A3=$C$1,$A3=$D$1)</f>
        <v>0</v>
      </c>
      <c r="G3" s="1" t="b">
        <f t="shared" ref="G3:G21" si="3">OR($A3=$C$1,$A3=$D$1)</f>
        <v>1</v>
      </c>
      <c r="H3" s="1" t="str">
        <f t="shared" ref="H3:H21" si="4">IF(OR($A3=$C$1,$A3=$D$1),"Role Desired","Not Desired")</f>
        <v>Role Desired</v>
      </c>
      <c r="I3" s="1" t="str">
        <f t="shared" ref="I3:I21" si="5">IF($B3&gt;$I$1,"Salary&gt;85K","Salary low")</f>
        <v>Salary low</v>
      </c>
      <c r="J3" s="1" t="str" cm="1">
        <f t="array" ref="J3">_xlfn.IFS($B3=0,"No Data",$B3&gt;=$I$1,"Salary&gt;$85K",TRUE,"Salary low")</f>
        <v>Salary low</v>
      </c>
    </row>
    <row r="4" spans="1:10" x14ac:dyDescent="0.25">
      <c r="A4" s="1" t="str">
        <v>Data Analyst</v>
      </c>
      <c r="B4" s="2">
        <v>0</v>
      </c>
      <c r="C4" s="1" t="str">
        <f t="shared" si="0"/>
        <v>Role Desired</v>
      </c>
      <c r="D4" s="1" t="str">
        <f t="shared" si="0"/>
        <v>NotDesired</v>
      </c>
      <c r="E4" s="1" t="str">
        <f t="shared" si="1"/>
        <v>Role Desired</v>
      </c>
      <c r="F4" s="1" t="b">
        <f t="shared" si="2"/>
        <v>0</v>
      </c>
      <c r="G4" s="1" t="b">
        <f t="shared" si="3"/>
        <v>1</v>
      </c>
      <c r="H4" s="1" t="str">
        <f t="shared" si="4"/>
        <v>Role Desired</v>
      </c>
      <c r="I4" s="1" t="str">
        <f t="shared" si="5"/>
        <v>Salary low</v>
      </c>
      <c r="J4" s="1" t="str" cm="1">
        <f t="array" ref="J4">_xlfn.IFS($B4=0,"No Data",$B4&gt;=$I$1,"Salary&gt;$85K",TRUE,"Salary low")</f>
        <v>No Data</v>
      </c>
    </row>
    <row r="5" spans="1:10" x14ac:dyDescent="0.25">
      <c r="A5" s="1" t="str">
        <v>Data Scientist</v>
      </c>
      <c r="B5" s="2">
        <v>0</v>
      </c>
      <c r="C5" s="1" t="str">
        <f t="shared" si="0"/>
        <v>NotDesired</v>
      </c>
      <c r="D5" s="1" t="str">
        <f t="shared" si="0"/>
        <v>NotDesired</v>
      </c>
      <c r="E5" s="1" t="str">
        <f t="shared" si="1"/>
        <v>Not Desired</v>
      </c>
      <c r="F5" s="1" t="b">
        <f t="shared" si="2"/>
        <v>0</v>
      </c>
      <c r="G5" s="1" t="b">
        <f t="shared" si="3"/>
        <v>0</v>
      </c>
      <c r="H5" s="1" t="str">
        <f t="shared" si="4"/>
        <v>Not Desired</v>
      </c>
      <c r="I5" s="1" t="str">
        <f t="shared" si="5"/>
        <v>Salary low</v>
      </c>
      <c r="J5" s="1" t="str" cm="1">
        <f t="array" ref="J5">_xlfn.IFS($B5=0,"No Data",$B5&gt;=$I$1,"Salary&gt;$85K",TRUE,"Salary low")</f>
        <v>No Data</v>
      </c>
    </row>
    <row r="6" spans="1:10" x14ac:dyDescent="0.25">
      <c r="A6" s="1" t="str">
        <v>Senior Data Analyst</v>
      </c>
      <c r="B6" s="2">
        <v>0</v>
      </c>
      <c r="C6" s="1" t="str">
        <f t="shared" si="0"/>
        <v>NotDesired</v>
      </c>
      <c r="D6" s="1" t="str">
        <f t="shared" si="0"/>
        <v>NotDesired</v>
      </c>
      <c r="E6" s="1" t="str">
        <f t="shared" si="1"/>
        <v>Not Desired</v>
      </c>
      <c r="F6" s="1" t="b">
        <f t="shared" si="2"/>
        <v>0</v>
      </c>
      <c r="G6" s="1" t="b">
        <f t="shared" si="3"/>
        <v>0</v>
      </c>
      <c r="H6" s="1" t="str">
        <f t="shared" si="4"/>
        <v>Not Desired</v>
      </c>
      <c r="I6" s="1" t="str">
        <f t="shared" si="5"/>
        <v>Salary low</v>
      </c>
      <c r="J6" s="1" t="str" cm="1">
        <f t="array" ref="J6">_xlfn.IFS($B6=0,"No Data",$B6&gt;=$I$1,"Salary&gt;$85K",TRUE,"Salary low")</f>
        <v>No Data</v>
      </c>
    </row>
    <row r="7" spans="1:10" x14ac:dyDescent="0.25">
      <c r="A7" s="1" t="str">
        <v>Data Scientist</v>
      </c>
      <c r="B7" s="2">
        <v>0</v>
      </c>
      <c r="C7" s="1" t="str">
        <f t="shared" si="0"/>
        <v>NotDesired</v>
      </c>
      <c r="D7" s="1" t="str">
        <f t="shared" si="0"/>
        <v>NotDesired</v>
      </c>
      <c r="E7" s="1" t="str">
        <f t="shared" si="1"/>
        <v>Not Desired</v>
      </c>
      <c r="F7" s="1" t="b">
        <f t="shared" si="2"/>
        <v>0</v>
      </c>
      <c r="G7" s="1" t="b">
        <f t="shared" si="3"/>
        <v>0</v>
      </c>
      <c r="H7" s="1" t="str">
        <f t="shared" si="4"/>
        <v>Not Desired</v>
      </c>
      <c r="I7" s="1" t="str">
        <f t="shared" si="5"/>
        <v>Salary low</v>
      </c>
      <c r="J7" s="1" t="str" cm="1">
        <f t="array" ref="J7">_xlfn.IFS($B7=0,"No Data",$B7&gt;=$I$1,"Salary&gt;$85K",TRUE,"Salary low")</f>
        <v>No Data</v>
      </c>
    </row>
    <row r="8" spans="1:10" x14ac:dyDescent="0.25">
      <c r="A8" s="1" t="str">
        <v>Data Analyst</v>
      </c>
      <c r="B8" s="2">
        <v>0</v>
      </c>
      <c r="C8" s="1" t="str">
        <f t="shared" si="0"/>
        <v>Role Desired</v>
      </c>
      <c r="D8" s="1" t="str">
        <f t="shared" si="0"/>
        <v>NotDesired</v>
      </c>
      <c r="E8" s="1" t="str">
        <f t="shared" si="1"/>
        <v>Role Desired</v>
      </c>
      <c r="F8" s="1" t="b">
        <f t="shared" si="2"/>
        <v>0</v>
      </c>
      <c r="G8" s="1" t="b">
        <f t="shared" si="3"/>
        <v>1</v>
      </c>
      <c r="H8" s="1" t="str">
        <f t="shared" si="4"/>
        <v>Role Desired</v>
      </c>
      <c r="I8" s="1" t="str">
        <f t="shared" si="5"/>
        <v>Salary low</v>
      </c>
      <c r="J8" s="1" t="str" cm="1">
        <f t="array" ref="J8">_xlfn.IFS($B8=0,"No Data",$B8&gt;=$I$1,"Salary&gt;$85K",TRUE,"Salary low")</f>
        <v>No Data</v>
      </c>
    </row>
    <row r="9" spans="1:10" x14ac:dyDescent="0.25">
      <c r="A9" s="1" t="str">
        <v>Data Analyst</v>
      </c>
      <c r="B9" s="1">
        <v>115000</v>
      </c>
      <c r="C9" s="1" t="str">
        <f t="shared" si="0"/>
        <v>Role Desired</v>
      </c>
      <c r="D9" s="1" t="str">
        <f t="shared" si="0"/>
        <v>NotDesired</v>
      </c>
      <c r="E9" s="1" t="str">
        <f t="shared" si="1"/>
        <v>Role Desired</v>
      </c>
      <c r="F9" s="1" t="b">
        <f t="shared" si="2"/>
        <v>0</v>
      </c>
      <c r="G9" s="1" t="b">
        <f t="shared" si="3"/>
        <v>1</v>
      </c>
      <c r="H9" s="1" t="str">
        <f t="shared" si="4"/>
        <v>Role Desired</v>
      </c>
      <c r="I9" s="1" t="str">
        <f t="shared" si="5"/>
        <v>Salary&gt;85K</v>
      </c>
      <c r="J9" s="1" t="str" cm="1">
        <f t="array" ref="J9">_xlfn.IFS($B9=0,"No Data",$B9&gt;=$I$1,"Salary&gt;$85K",TRUE,"Salary low")</f>
        <v>Salary&gt;$85K</v>
      </c>
    </row>
    <row r="10" spans="1:10" x14ac:dyDescent="0.25">
      <c r="A10" s="1" t="str">
        <v>Data Analyst</v>
      </c>
      <c r="B10" s="2">
        <v>0</v>
      </c>
      <c r="C10" s="1" t="str">
        <f t="shared" si="0"/>
        <v>Role Desired</v>
      </c>
      <c r="D10" s="1" t="str">
        <f t="shared" si="0"/>
        <v>NotDesired</v>
      </c>
      <c r="E10" s="1" t="str">
        <f t="shared" si="1"/>
        <v>Role Desired</v>
      </c>
      <c r="F10" s="1" t="b">
        <f t="shared" si="2"/>
        <v>0</v>
      </c>
      <c r="G10" s="1" t="b">
        <f t="shared" si="3"/>
        <v>1</v>
      </c>
      <c r="H10" s="1" t="str">
        <f t="shared" si="4"/>
        <v>Role Desired</v>
      </c>
      <c r="I10" s="1" t="str">
        <f t="shared" si="5"/>
        <v>Salary low</v>
      </c>
      <c r="J10" s="1" t="str" cm="1">
        <f t="array" ref="J10">_xlfn.IFS($B10=0,"No Data",$B10&gt;=$I$1,"Salary&gt;$85K",TRUE,"Salary low")</f>
        <v>No Data</v>
      </c>
    </row>
    <row r="11" spans="1:10" x14ac:dyDescent="0.25">
      <c r="A11" s="1" t="str">
        <v>Data Analyst</v>
      </c>
      <c r="B11" s="1">
        <v>105000</v>
      </c>
      <c r="C11" s="1" t="str">
        <f t="shared" si="0"/>
        <v>Role Desired</v>
      </c>
      <c r="D11" s="1" t="str">
        <f t="shared" si="0"/>
        <v>NotDesired</v>
      </c>
      <c r="E11" s="1" t="str">
        <f t="shared" si="1"/>
        <v>Role Desired</v>
      </c>
      <c r="F11" s="1" t="b">
        <f t="shared" si="2"/>
        <v>0</v>
      </c>
      <c r="G11" s="1" t="b">
        <f t="shared" si="3"/>
        <v>1</v>
      </c>
      <c r="H11" s="1" t="str">
        <f t="shared" si="4"/>
        <v>Role Desired</v>
      </c>
      <c r="I11" s="1" t="str">
        <f t="shared" si="5"/>
        <v>Salary&gt;85K</v>
      </c>
      <c r="J11" s="1" t="str" cm="1">
        <f t="array" ref="J11">_xlfn.IFS($B11=0,"No Data",$B11&gt;=$I$1,"Salary&gt;$85K",TRUE,"Salary low")</f>
        <v>Salary&gt;$85K</v>
      </c>
    </row>
    <row r="12" spans="1:10" x14ac:dyDescent="0.25">
      <c r="A12" s="1" t="str">
        <v>Data Scientist</v>
      </c>
      <c r="B12" s="1">
        <v>195000</v>
      </c>
      <c r="C12" s="1" t="str">
        <f t="shared" si="0"/>
        <v>NotDesired</v>
      </c>
      <c r="D12" s="1" t="str">
        <f t="shared" si="0"/>
        <v>NotDesired</v>
      </c>
      <c r="E12" s="1" t="str">
        <f t="shared" si="1"/>
        <v>Not Desired</v>
      </c>
      <c r="F12" s="1" t="b">
        <f t="shared" si="2"/>
        <v>0</v>
      </c>
      <c r="G12" s="1" t="b">
        <f t="shared" si="3"/>
        <v>0</v>
      </c>
      <c r="H12" s="1" t="str">
        <f t="shared" si="4"/>
        <v>Not Desired</v>
      </c>
      <c r="I12" s="1" t="str">
        <f t="shared" si="5"/>
        <v>Salary&gt;85K</v>
      </c>
      <c r="J12" s="1" t="str" cm="1">
        <f t="array" ref="J12">_xlfn.IFS($B12=0,"No Data",$B12&gt;=$I$1,"Salary&gt;$85K",TRUE,"Salary low")</f>
        <v>Salary&gt;$85K</v>
      </c>
    </row>
    <row r="13" spans="1:10" x14ac:dyDescent="0.25">
      <c r="A13" s="1" t="str">
        <v>Senior Data Scientist</v>
      </c>
      <c r="B13" s="1">
        <v>165000</v>
      </c>
      <c r="C13" s="1" t="str">
        <f t="shared" si="0"/>
        <v>NotDesired</v>
      </c>
      <c r="D13" s="1" t="str">
        <f t="shared" si="0"/>
        <v>NotDesired</v>
      </c>
      <c r="E13" s="1" t="str">
        <f t="shared" si="1"/>
        <v>Not Desired</v>
      </c>
      <c r="F13" s="1" t="b">
        <f t="shared" si="2"/>
        <v>0</v>
      </c>
      <c r="G13" s="1" t="b">
        <f t="shared" si="3"/>
        <v>0</v>
      </c>
      <c r="H13" s="1" t="str">
        <f t="shared" si="4"/>
        <v>Not Desired</v>
      </c>
      <c r="I13" s="1" t="str">
        <f t="shared" si="5"/>
        <v>Salary&gt;85K</v>
      </c>
      <c r="J13" s="1" t="str" cm="1">
        <f t="array" ref="J13">_xlfn.IFS($B13=0,"No Data",$B13&gt;=$I$1,"Salary&gt;$85K",TRUE,"Salary low")</f>
        <v>Salary&gt;$85K</v>
      </c>
    </row>
    <row r="14" spans="1:10" x14ac:dyDescent="0.25">
      <c r="A14" s="1" t="str">
        <v>Data Scientist</v>
      </c>
      <c r="B14" s="1">
        <v>281450.5</v>
      </c>
      <c r="C14" s="1" t="str">
        <f t="shared" si="0"/>
        <v>NotDesired</v>
      </c>
      <c r="D14" s="1" t="str">
        <f t="shared" si="0"/>
        <v>NotDesired</v>
      </c>
      <c r="E14" s="1" t="str">
        <f t="shared" si="1"/>
        <v>Not Desired</v>
      </c>
      <c r="F14" s="1" t="b">
        <f t="shared" si="2"/>
        <v>0</v>
      </c>
      <c r="G14" s="1" t="b">
        <f t="shared" si="3"/>
        <v>0</v>
      </c>
      <c r="H14" s="1" t="str">
        <f t="shared" si="4"/>
        <v>Not Desired</v>
      </c>
      <c r="I14" s="1" t="str">
        <f t="shared" si="5"/>
        <v>Salary&gt;85K</v>
      </c>
      <c r="J14" s="1" t="str" cm="1">
        <f t="array" ref="J14">_xlfn.IFS($B14=0,"No Data",$B14&gt;=$I$1,"Salary&gt;$85K",TRUE,"Salary low")</f>
        <v>Salary&gt;$85K</v>
      </c>
    </row>
    <row r="15" spans="1:10" x14ac:dyDescent="0.25">
      <c r="A15" s="1" t="str">
        <v>Data Scientist</v>
      </c>
      <c r="B15" s="1">
        <v>70000</v>
      </c>
      <c r="C15" s="1" t="str">
        <f t="shared" si="0"/>
        <v>NotDesired</v>
      </c>
      <c r="D15" s="1" t="str">
        <f t="shared" si="0"/>
        <v>NotDesired</v>
      </c>
      <c r="E15" s="1" t="str">
        <f t="shared" si="1"/>
        <v>Not Desired</v>
      </c>
      <c r="F15" s="1" t="b">
        <f t="shared" si="2"/>
        <v>0</v>
      </c>
      <c r="G15" s="1" t="b">
        <f t="shared" si="3"/>
        <v>0</v>
      </c>
      <c r="H15" s="1" t="str">
        <f t="shared" si="4"/>
        <v>Not Desired</v>
      </c>
      <c r="I15" s="1" t="str">
        <f t="shared" si="5"/>
        <v>Salary low</v>
      </c>
      <c r="J15" s="1" t="str" cm="1">
        <f t="array" ref="J15">_xlfn.IFS($B15=0,"No Data",$B15&gt;=$I$1,"Salary&gt;$85K",TRUE,"Salary low")</f>
        <v>Salary low</v>
      </c>
    </row>
    <row r="16" spans="1:10" x14ac:dyDescent="0.25">
      <c r="A16" s="1" t="str">
        <v>Data Engineer</v>
      </c>
      <c r="B16" s="1">
        <v>98301.5</v>
      </c>
      <c r="C16" s="1" t="str">
        <f t="shared" si="0"/>
        <v>NotDesired</v>
      </c>
      <c r="D16" s="1" t="str">
        <f t="shared" si="0"/>
        <v>NotDesired</v>
      </c>
      <c r="E16" s="1" t="str">
        <f t="shared" si="1"/>
        <v>Not Desired</v>
      </c>
      <c r="F16" s="1" t="b">
        <f t="shared" si="2"/>
        <v>0</v>
      </c>
      <c r="G16" s="1" t="b">
        <f t="shared" si="3"/>
        <v>0</v>
      </c>
      <c r="H16" s="1" t="str">
        <f t="shared" si="4"/>
        <v>Not Desired</v>
      </c>
      <c r="I16" s="1" t="str">
        <f t="shared" si="5"/>
        <v>Salary&gt;85K</v>
      </c>
      <c r="J16" s="1" t="str" cm="1">
        <f t="array" ref="J16">_xlfn.IFS($B16=0,"No Data",$B16&gt;=$I$1,"Salary&gt;$85K",TRUE,"Salary low")</f>
        <v>Salary&gt;$85K</v>
      </c>
    </row>
    <row r="17" spans="1:10" x14ac:dyDescent="0.25">
      <c r="A17" s="1" t="str">
        <v>Data Engineer</v>
      </c>
      <c r="B17" s="1">
        <v>89100</v>
      </c>
      <c r="C17" s="1" t="str">
        <f t="shared" si="0"/>
        <v>NotDesired</v>
      </c>
      <c r="D17" s="1" t="str">
        <f t="shared" si="0"/>
        <v>NotDesired</v>
      </c>
      <c r="E17" s="1" t="str">
        <f t="shared" si="1"/>
        <v>Not Desired</v>
      </c>
      <c r="F17" s="1" t="b">
        <f t="shared" si="2"/>
        <v>0</v>
      </c>
      <c r="G17" s="1" t="b">
        <f t="shared" si="3"/>
        <v>0</v>
      </c>
      <c r="H17" s="1" t="str">
        <f t="shared" si="4"/>
        <v>Not Desired</v>
      </c>
      <c r="I17" s="1" t="str">
        <f t="shared" si="5"/>
        <v>Salary&gt;85K</v>
      </c>
      <c r="J17" s="1" t="str" cm="1">
        <f t="array" ref="J17">_xlfn.IFS($B17=0,"No Data",$B17&gt;=$I$1,"Salary&gt;$85K",TRUE,"Salary low")</f>
        <v>Salary&gt;$85K</v>
      </c>
    </row>
    <row r="18" spans="1:10" x14ac:dyDescent="0.25">
      <c r="A18" s="1" t="str">
        <v>Business Analyst</v>
      </c>
      <c r="B18" s="2">
        <v>0</v>
      </c>
      <c r="C18" s="1" t="str">
        <f t="shared" si="0"/>
        <v>NotDesired</v>
      </c>
      <c r="D18" s="1" t="str">
        <f t="shared" si="0"/>
        <v>Role Desired</v>
      </c>
      <c r="E18" s="1" t="str">
        <f t="shared" si="1"/>
        <v>Role Desired</v>
      </c>
      <c r="F18" s="1" t="b">
        <f t="shared" si="2"/>
        <v>0</v>
      </c>
      <c r="G18" s="1" t="b">
        <f t="shared" si="3"/>
        <v>1</v>
      </c>
      <c r="H18" s="1" t="str">
        <f t="shared" si="4"/>
        <v>Role Desired</v>
      </c>
      <c r="I18" s="1" t="str">
        <f t="shared" si="5"/>
        <v>Salary low</v>
      </c>
      <c r="J18" s="1" t="str" cm="1">
        <f t="array" ref="J18">_xlfn.IFS($B18=0,"No Data",$B18&gt;=$I$1,"Salary&gt;$85K",TRUE,"Salary low")</f>
        <v>No Data</v>
      </c>
    </row>
    <row r="19" spans="1:10" x14ac:dyDescent="0.25">
      <c r="A19" s="1" t="str">
        <v>Data Scientist</v>
      </c>
      <c r="B19" s="1">
        <v>87500</v>
      </c>
      <c r="C19" s="1" t="str">
        <f t="shared" si="0"/>
        <v>NotDesired</v>
      </c>
      <c r="D19" s="1" t="str">
        <f t="shared" si="0"/>
        <v>NotDesired</v>
      </c>
      <c r="E19" s="1" t="str">
        <f t="shared" si="1"/>
        <v>Not Desired</v>
      </c>
      <c r="F19" s="1" t="b">
        <f t="shared" si="2"/>
        <v>0</v>
      </c>
      <c r="G19" s="1" t="b">
        <f t="shared" si="3"/>
        <v>0</v>
      </c>
      <c r="H19" s="1" t="str">
        <f t="shared" si="4"/>
        <v>Not Desired</v>
      </c>
      <c r="I19" s="1" t="str">
        <f t="shared" si="5"/>
        <v>Salary&gt;85K</v>
      </c>
      <c r="J19" s="1" t="str" cm="1">
        <f t="array" ref="J19">_xlfn.IFS($B19=0,"No Data",$B19&gt;=$I$1,"Salary&gt;$85K",TRUE,"Salary low")</f>
        <v>Salary&gt;$85K</v>
      </c>
    </row>
    <row r="20" spans="1:10" x14ac:dyDescent="0.25">
      <c r="A20" s="1" t="str">
        <v>Data Scientist</v>
      </c>
      <c r="B20" s="2">
        <v>0</v>
      </c>
      <c r="C20" s="1" t="str">
        <f t="shared" si="0"/>
        <v>NotDesired</v>
      </c>
      <c r="D20" s="1" t="str">
        <f t="shared" si="0"/>
        <v>NotDesired</v>
      </c>
      <c r="E20" s="1" t="str">
        <f t="shared" si="1"/>
        <v>Not Desired</v>
      </c>
      <c r="F20" s="1" t="b">
        <f t="shared" si="2"/>
        <v>0</v>
      </c>
      <c r="G20" s="1" t="b">
        <f t="shared" si="3"/>
        <v>0</v>
      </c>
      <c r="H20" s="1" t="str">
        <f t="shared" si="4"/>
        <v>Not Desired</v>
      </c>
      <c r="I20" s="1" t="str">
        <f t="shared" si="5"/>
        <v>Salary low</v>
      </c>
      <c r="J20" s="1" t="str" cm="1">
        <f t="array" ref="J20">_xlfn.IFS($B20=0,"No Data",$B20&gt;=$I$1,"Salary&gt;$85K",TRUE,"Salary low")</f>
        <v>No Data</v>
      </c>
    </row>
    <row r="21" spans="1:10" x14ac:dyDescent="0.25">
      <c r="A21" s="1" t="str">
        <v>Business Analyst</v>
      </c>
      <c r="B21" s="1">
        <v>90000</v>
      </c>
      <c r="C21" s="1" t="str">
        <f t="shared" si="0"/>
        <v>NotDesired</v>
      </c>
      <c r="D21" s="1" t="str">
        <f t="shared" si="0"/>
        <v>Role Desired</v>
      </c>
      <c r="E21" s="1" t="str">
        <f t="shared" si="1"/>
        <v>Role Desired</v>
      </c>
      <c r="F21" s="1" t="b">
        <f t="shared" si="2"/>
        <v>0</v>
      </c>
      <c r="G21" s="1" t="b">
        <f t="shared" si="3"/>
        <v>1</v>
      </c>
      <c r="H21" s="1" t="str">
        <f t="shared" si="4"/>
        <v>Role Desired</v>
      </c>
      <c r="I21" s="1" t="str">
        <f t="shared" si="5"/>
        <v>Salary&gt;85K</v>
      </c>
      <c r="J21" s="1" t="str" cm="1">
        <f t="array" ref="J21">_xlfn.IFS($B21=0,"No Data",$B21&gt;=$I$1,"Salary&gt;$85K",TRUE,"Salary low")</f>
        <v>Salary&gt;$85K</v>
      </c>
    </row>
  </sheetData>
  <autoFilter ref="A1:J21" xr:uid="{EA7AFD5C-813B-4A5A-9840-F26085DAEA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2026-08-22T08:33:52Z</dcterms:created>
  <dcterms:modified xsi:type="dcterms:W3CDTF">2026-08-22T10:07:03Z</dcterms:modified>
</cp:coreProperties>
</file>