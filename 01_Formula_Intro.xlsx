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MD WASHIFUL HAQUE\Downloads\Excel Project\"/>
    </mc:Choice>
  </mc:AlternateContent>
  <xr:revisionPtr revIDLastSave="0" documentId="13_ncr:1_{A233FDF0-D8C9-487B-BCC9-0A1FC84A15B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ata" sheetId="1" r:id="rId1"/>
    <sheet name="Math_Operators" sheetId="2" r:id="rId2"/>
    <sheet name="Comparison_Operators" sheetId="3" r:id="rId3"/>
    <sheet name="Cell_Referencing" sheetId="4" r:id="rId4"/>
    <sheet name="practi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5" l="1"/>
  <c r="H36" i="5"/>
  <c r="I35" i="5"/>
  <c r="H35" i="5"/>
  <c r="I34" i="5"/>
  <c r="J34" i="5"/>
  <c r="H34" i="5"/>
  <c r="I33" i="5"/>
  <c r="J33" i="5"/>
  <c r="H33" i="5"/>
  <c r="I32" i="5"/>
  <c r="J32" i="5"/>
  <c r="H32" i="5"/>
  <c r="G20" i="5" a="1"/>
  <c r="A20" i="5" a="1"/>
  <c r="B15" i="5" a="1"/>
  <c r="I3" i="2"/>
  <c r="A1" i="5" a="1"/>
  <c r="O12" i="4"/>
  <c r="N12" i="4"/>
  <c r="M12" i="4"/>
  <c r="L12" i="4"/>
  <c r="K12" i="4"/>
  <c r="J12" i="4"/>
  <c r="I12" i="4"/>
  <c r="H12" i="4"/>
  <c r="G12" i="4"/>
  <c r="F12" i="4"/>
  <c r="O11" i="4"/>
  <c r="N11" i="4"/>
  <c r="M11" i="4"/>
  <c r="L11" i="4"/>
  <c r="K11" i="4"/>
  <c r="J11" i="4"/>
  <c r="I11" i="4"/>
  <c r="H11" i="4"/>
  <c r="G11" i="4"/>
  <c r="F11" i="4"/>
  <c r="O10" i="4"/>
  <c r="N10" i="4"/>
  <c r="M10" i="4"/>
  <c r="L10" i="4"/>
  <c r="K10" i="4"/>
  <c r="J10" i="4"/>
  <c r="I10" i="4"/>
  <c r="H10" i="4"/>
  <c r="G10" i="4"/>
  <c r="F10" i="4"/>
  <c r="O9" i="4"/>
  <c r="N9" i="4"/>
  <c r="M9" i="4"/>
  <c r="L9" i="4"/>
  <c r="K9" i="4"/>
  <c r="J9" i="4"/>
  <c r="I9" i="4"/>
  <c r="H9" i="4"/>
  <c r="G9" i="4"/>
  <c r="F9" i="4"/>
  <c r="O8" i="4"/>
  <c r="N8" i="4"/>
  <c r="M8" i="4"/>
  <c r="L8" i="4"/>
  <c r="K8" i="4"/>
  <c r="J8" i="4"/>
  <c r="I8" i="4"/>
  <c r="H8" i="4"/>
  <c r="G8" i="4"/>
  <c r="F8" i="4"/>
  <c r="O7" i="4"/>
  <c r="N7" i="4"/>
  <c r="M7" i="4"/>
  <c r="L7" i="4"/>
  <c r="K7" i="4"/>
  <c r="J7" i="4"/>
  <c r="I7" i="4"/>
  <c r="H7" i="4"/>
  <c r="G7" i="4"/>
  <c r="F7" i="4"/>
  <c r="O6" i="4"/>
  <c r="N6" i="4"/>
  <c r="M6" i="4"/>
  <c r="L6" i="4"/>
  <c r="K6" i="4"/>
  <c r="J6" i="4"/>
  <c r="I6" i="4"/>
  <c r="H6" i="4"/>
  <c r="G6" i="4"/>
  <c r="F6" i="4"/>
  <c r="O5" i="4"/>
  <c r="N5" i="4"/>
  <c r="M5" i="4"/>
  <c r="L5" i="4"/>
  <c r="K5" i="4"/>
  <c r="J5" i="4"/>
  <c r="I5" i="4"/>
  <c r="H5" i="4"/>
  <c r="G5" i="4"/>
  <c r="F5" i="4"/>
  <c r="O4" i="4"/>
  <c r="N4" i="4"/>
  <c r="M4" i="4"/>
  <c r="L4" i="4"/>
  <c r="K4" i="4"/>
  <c r="J4" i="4"/>
  <c r="I4" i="4"/>
  <c r="H4" i="4"/>
  <c r="G4" i="4"/>
  <c r="F4" i="4"/>
  <c r="O3" i="4"/>
  <c r="N3" i="4"/>
  <c r="M3" i="4"/>
  <c r="L3" i="4"/>
  <c r="K3" i="4"/>
  <c r="J3" i="4"/>
  <c r="I3" i="4"/>
  <c r="H3" i="4"/>
  <c r="G3" i="4"/>
  <c r="F3" i="4"/>
  <c r="K12" i="3"/>
  <c r="J12" i="3"/>
  <c r="I12" i="3"/>
  <c r="H12" i="3"/>
  <c r="G12" i="3"/>
  <c r="F12" i="3"/>
  <c r="K11" i="3"/>
  <c r="J11" i="3"/>
  <c r="I11" i="3"/>
  <c r="H11" i="3"/>
  <c r="G11" i="3"/>
  <c r="F11" i="3"/>
  <c r="K10" i="3"/>
  <c r="J10" i="3"/>
  <c r="I10" i="3"/>
  <c r="H10" i="3"/>
  <c r="G10" i="3"/>
  <c r="F10" i="3"/>
  <c r="K9" i="3"/>
  <c r="J9" i="3"/>
  <c r="I9" i="3"/>
  <c r="H9" i="3"/>
  <c r="G9" i="3"/>
  <c r="F9" i="3"/>
  <c r="K8" i="3"/>
  <c r="J8" i="3"/>
  <c r="I8" i="3"/>
  <c r="H8" i="3"/>
  <c r="G8" i="3"/>
  <c r="F8" i="3"/>
  <c r="K7" i="3"/>
  <c r="J7" i="3"/>
  <c r="I7" i="3"/>
  <c r="H7" i="3"/>
  <c r="G7" i="3"/>
  <c r="F7" i="3"/>
  <c r="K6" i="3"/>
  <c r="J6" i="3"/>
  <c r="I6" i="3"/>
  <c r="H6" i="3"/>
  <c r="G6" i="3"/>
  <c r="F6" i="3"/>
  <c r="K5" i="3"/>
  <c r="J5" i="3"/>
  <c r="I5" i="3"/>
  <c r="H5" i="3"/>
  <c r="G5" i="3"/>
  <c r="F5" i="3"/>
  <c r="K4" i="3"/>
  <c r="J4" i="3"/>
  <c r="I4" i="3"/>
  <c r="H4" i="3"/>
  <c r="G4" i="3"/>
  <c r="F4" i="3"/>
  <c r="K3" i="3"/>
  <c r="J3" i="3"/>
  <c r="I3" i="3"/>
  <c r="H3" i="3"/>
  <c r="G3" i="3"/>
  <c r="F3" i="3"/>
  <c r="I12" i="2"/>
  <c r="H12" i="2"/>
  <c r="G12" i="2"/>
  <c r="F12" i="2"/>
  <c r="I11" i="2"/>
  <c r="H11" i="2"/>
  <c r="G11" i="2"/>
  <c r="F11" i="2"/>
  <c r="I10" i="2"/>
  <c r="H10" i="2"/>
  <c r="G10" i="2"/>
  <c r="F10" i="2"/>
  <c r="I9" i="2"/>
  <c r="H9" i="2"/>
  <c r="G9" i="2"/>
  <c r="F9" i="2"/>
  <c r="I8" i="2"/>
  <c r="H8" i="2"/>
  <c r="G8" i="2"/>
  <c r="F8" i="2"/>
  <c r="I7" i="2"/>
  <c r="H7" i="2"/>
  <c r="G7" i="2"/>
  <c r="F7" i="2"/>
  <c r="I6" i="2"/>
  <c r="H6" i="2"/>
  <c r="G6" i="2"/>
  <c r="F6" i="2"/>
  <c r="I5" i="2"/>
  <c r="H5" i="2"/>
  <c r="G5" i="2"/>
  <c r="F5" i="2"/>
  <c r="I4" i="2"/>
  <c r="H4" i="2"/>
  <c r="G4" i="2"/>
  <c r="F4" i="2"/>
  <c r="H3" i="2"/>
  <c r="G3" i="2"/>
  <c r="F3" i="2"/>
  <c r="D17" i="1"/>
  <c r="C17" i="1"/>
  <c r="D16" i="1"/>
  <c r="C16" i="1"/>
  <c r="E15" i="1"/>
  <c r="D15" i="1"/>
  <c r="C15" i="1"/>
  <c r="E14" i="1"/>
  <c r="D14" i="1"/>
  <c r="C14" i="1"/>
  <c r="E13" i="1"/>
  <c r="D13" i="1"/>
  <c r="C13" i="1"/>
  <c r="O12" i="1"/>
  <c r="N12" i="1"/>
  <c r="M12" i="1"/>
  <c r="L12" i="1"/>
  <c r="K12" i="1"/>
  <c r="J12" i="1"/>
  <c r="I12" i="1"/>
  <c r="H12" i="1"/>
  <c r="G12" i="1"/>
  <c r="O11" i="1"/>
  <c r="N11" i="1"/>
  <c r="M11" i="1"/>
  <c r="L11" i="1"/>
  <c r="K11" i="1"/>
  <c r="J11" i="1"/>
  <c r="I11" i="1"/>
  <c r="H11" i="1"/>
  <c r="G11" i="1"/>
  <c r="O10" i="1"/>
  <c r="N10" i="1"/>
  <c r="M10" i="1"/>
  <c r="L10" i="1"/>
  <c r="K10" i="1"/>
  <c r="J10" i="1"/>
  <c r="I10" i="1"/>
  <c r="H10" i="1"/>
  <c r="G10" i="1"/>
  <c r="O9" i="1"/>
  <c r="N9" i="1"/>
  <c r="M9" i="1"/>
  <c r="L9" i="1"/>
  <c r="K9" i="1"/>
  <c r="J9" i="1"/>
  <c r="I9" i="1"/>
  <c r="H9" i="1"/>
  <c r="G9" i="1"/>
  <c r="O8" i="1"/>
  <c r="N8" i="1"/>
  <c r="M8" i="1"/>
  <c r="L8" i="1"/>
  <c r="K8" i="1"/>
  <c r="J8" i="1"/>
  <c r="I8" i="1"/>
  <c r="H8" i="1"/>
  <c r="G8" i="1"/>
  <c r="O7" i="1"/>
  <c r="N7" i="1"/>
  <c r="M7" i="1"/>
  <c r="L7" i="1"/>
  <c r="K7" i="1"/>
  <c r="J7" i="1"/>
  <c r="I7" i="1"/>
  <c r="H7" i="1"/>
  <c r="G7" i="1"/>
  <c r="O6" i="1"/>
  <c r="N6" i="1"/>
  <c r="M6" i="1"/>
  <c r="L6" i="1"/>
  <c r="K6" i="1"/>
  <c r="J6" i="1"/>
  <c r="I6" i="1"/>
  <c r="H6" i="1"/>
  <c r="G6" i="1"/>
  <c r="O5" i="1"/>
  <c r="N5" i="1"/>
  <c r="M5" i="1"/>
  <c r="L5" i="1"/>
  <c r="K5" i="1"/>
  <c r="J5" i="1"/>
  <c r="I5" i="1"/>
  <c r="H5" i="1"/>
  <c r="G5" i="1"/>
  <c r="O4" i="1"/>
  <c r="N4" i="1"/>
  <c r="M4" i="1"/>
  <c r="L4" i="1"/>
  <c r="K4" i="1"/>
  <c r="J4" i="1"/>
  <c r="I4" i="1"/>
  <c r="H4" i="1"/>
  <c r="G4" i="1"/>
  <c r="O3" i="1"/>
  <c r="N3" i="1"/>
  <c r="M3" i="1"/>
  <c r="L3" i="1"/>
  <c r="K3" i="1"/>
  <c r="J3" i="1"/>
  <c r="I3" i="1"/>
  <c r="H3" i="1"/>
  <c r="G3" i="1"/>
  <c r="A22" i="5" l="1"/>
  <c r="A25" i="5"/>
  <c r="A28" i="5"/>
  <c r="A21" i="5"/>
  <c r="A24" i="5"/>
  <c r="A23" i="5"/>
  <c r="A26" i="5"/>
  <c r="A29" i="5"/>
  <c r="G15" i="5"/>
  <c r="A27" i="5"/>
  <c r="A30" i="5"/>
  <c r="G17" i="5"/>
  <c r="G16" i="5"/>
  <c r="E6" i="5"/>
  <c r="B25" i="5" s="1"/>
  <c r="E7" i="5"/>
  <c r="B26" i="5" s="1"/>
  <c r="E8" i="5"/>
  <c r="B27" i="5" s="1"/>
  <c r="E9" i="5"/>
  <c r="B28" i="5" s="1"/>
  <c r="E11" i="5"/>
  <c r="B30" i="5" s="1"/>
  <c r="E2" i="5"/>
  <c r="B21" i="5" s="1"/>
  <c r="F5" i="5"/>
  <c r="F3" i="5"/>
  <c r="G3" i="5" s="1"/>
  <c r="E10" i="5"/>
  <c r="B29" i="5" s="1"/>
  <c r="F6" i="5"/>
  <c r="G6" i="5" s="1"/>
  <c r="F9" i="5"/>
  <c r="G9" i="5"/>
  <c r="F2" i="5"/>
  <c r="G2" i="5" s="1"/>
  <c r="F4" i="5"/>
  <c r="G4" i="5" s="1"/>
  <c r="F8" i="5"/>
  <c r="G8" i="5" s="1"/>
  <c r="F10" i="5"/>
  <c r="G10" i="5" s="1"/>
  <c r="E5" i="5"/>
  <c r="B24" i="5" s="1"/>
  <c r="G5" i="5"/>
  <c r="F7" i="5"/>
  <c r="G7" i="5" s="1"/>
  <c r="F11" i="5"/>
  <c r="G11" i="5" s="1"/>
  <c r="E3" i="5"/>
  <c r="B22" i="5" s="1"/>
  <c r="E4" i="5"/>
  <c r="B23" i="5" s="1"/>
  <c r="C29" i="5" l="1"/>
  <c r="D29" i="5" s="1"/>
  <c r="C22" i="5"/>
  <c r="D22" i="5" s="1"/>
  <c r="C28" i="5"/>
  <c r="D28" i="5" s="1"/>
  <c r="C26" i="5"/>
  <c r="D26" i="5" s="1"/>
  <c r="C27" i="5"/>
  <c r="D27" i="5" s="1"/>
  <c r="C25" i="5"/>
  <c r="D25" i="5" s="1"/>
  <c r="C21" i="5"/>
  <c r="D21" i="5" s="1"/>
  <c r="C24" i="5"/>
  <c r="D24" i="5" s="1"/>
  <c r="C23" i="5"/>
  <c r="D23" i="5" s="1"/>
  <c r="C30" i="5"/>
  <c r="D30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<sst xmlns="http://schemas.openxmlformats.org/spreadsheetml/2006/main" count="135" uniqueCount="67">
  <si>
    <t>Job Title</t>
  </si>
  <si>
    <t xml:space="preserve"> Experience (Years)</t>
  </si>
  <si>
    <t>Annual Salary ($USD)</t>
  </si>
  <si>
    <t>Bonus Max ($USD)</t>
  </si>
  <si>
    <t>Experience (=)</t>
  </si>
  <si>
    <t>Total Salary (+)</t>
  </si>
  <si>
    <t>Bonus Rate (/)</t>
  </si>
  <si>
    <t>Confirm Total Salary</t>
  </si>
  <si>
    <t>Does Total Salary = Confirmed Salary?</t>
  </si>
  <si>
    <t>Is Bonus &gt; Annual Salary?</t>
  </si>
  <si>
    <t>Meets Experience</t>
  </si>
  <si>
    <t>Meets Salary</t>
  </si>
  <si>
    <t>Meets Both (1 or 0)</t>
  </si>
  <si>
    <t>Meets Both</t>
  </si>
  <si>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</si>
  <si>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</si>
  <si>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</si>
  <si>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</si>
  <si>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</si>
  <si>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</si>
  <si>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</si>
  <si>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</si>
  <si>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</si>
  <si>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</si>
  <si>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Average(by cell)</t>
  </si>
  <si>
    <t>Average(Average())</t>
  </si>
  <si>
    <t>Total count</t>
  </si>
  <si>
    <t>Meets Goal Count</t>
  </si>
  <si>
    <t>Job Goals:</t>
  </si>
  <si>
    <t>Experience (&lt;=)</t>
  </si>
  <si>
    <t>Total Salary (&gt;=)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</si>
  <si>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</si>
  <si>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</si>
  <si>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</si>
  <si>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</si>
  <si>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</si>
  <si>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</si>
  <si>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</si>
  <si>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</si>
  <si>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</si>
  <si>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</si>
  <si>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</si>
  <si>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</si>
  <si>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</si>
  <si>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</si>
  <si>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</si>
  <si>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</si>
  <si>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</si>
  <si>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</si>
  <si>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</si>
  <si>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</si>
  <si>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</si>
  <si>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</si>
  <si>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</si>
  <si>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</si>
  <si>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</si>
  <si>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</si>
  <si>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Total Salary</t>
  </si>
  <si>
    <t>Bonus rate</t>
  </si>
  <si>
    <t>Confirm total salary</t>
  </si>
  <si>
    <t>Make a table that matched job reference which is given below</t>
  </si>
  <si>
    <t>use mathematical funtion to make table to match reference goal state which is given below</t>
  </si>
  <si>
    <t>Average by (cell)</t>
  </si>
  <si>
    <t>Average (Average())</t>
  </si>
  <si>
    <t>total count</t>
  </si>
  <si>
    <t>meet goal count</t>
  </si>
  <si>
    <t>meet goal count with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</si>
</sst>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4" fontId="3" fillId="0" borderId="0" xfId="1" applyNumberFormat="1" applyFont="1" applyAlignment="1"/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5" fillId="0" borderId="0" xfId="0" applyFont="1"/>
    <xf numFmtId="0" fontId="4" fillId="0" borderId="1" xfId="0" applyFont="1" applyBorder="1"/>
    <xf numFmtId="0" fontId="3" fillId="0" borderId="3" xfId="0" applyFont="1" applyBorder="1"/>
    <xf numFmtId="0" fontId="4" fillId="0" borderId="7" xfId="0" applyFont="1" applyBorder="1"/>
    <xf numFmtId="0" fontId="3" fillId="0" borderId="9" xfId="0" applyFont="1" applyBorder="1"/>
    <xf numFmtId="0" fontId="3" fillId="0" borderId="0" xfId="1" applyNumberFormat="1" applyFont="1" applyAlignment="1"/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/>
    </xf>
    <xf numFmtId="164" fontId="3" fillId="0" borderId="0" xfId="1" applyNumberFormat="1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5" xfId="0" applyFont="1" applyBorder="1"/>
    <xf numFmtId="0" fontId="3" fillId="0" borderId="5" xfId="0" applyFont="1" applyBorder="1"/>
    <xf numFmtId="0" fontId="5" fillId="0" borderId="5" xfId="0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0" fillId="4" borderId="5" xfId="0" applyFill="1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6" fillId="0" borderId="0" xfId="0" applyFont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9"/>
  <sheetViews>
    <sheetView topLeftCell="A2" zoomScale="129" zoomScaleNormal="129" workbookViewId="0">
      <selection activeCell="G17" sqref="G17"/>
    </sheetView>
  </sheetViews>
  <sheetFormatPr defaultColWidth="9" defaultRowHeight="15" x14ac:dyDescent="0.25"/>
  <cols>
    <col min="1" max="1" width="5.125" style="2" customWidth="1"/>
    <col min="2" max="2" width="22.625" style="2" customWidth="1"/>
    <col min="3" max="3" width="10.375" style="2" customWidth="1"/>
    <col min="4" max="4" width="12.25" style="2" customWidth="1"/>
    <col min="5" max="5" width="11.625" style="2" customWidth="1"/>
    <col min="6" max="6" width="10" style="2" customWidth="1"/>
    <col min="7" max="7" width="9" style="2"/>
    <col min="8" max="8" width="12.875" style="2"/>
    <col min="9" max="9" width="9" style="2"/>
    <col min="10" max="10" width="32.375" style="2" customWidth="1"/>
    <col min="11" max="13" width="9" style="2"/>
    <col min="14" max="14" width="11.25" style="2" customWidth="1"/>
    <col min="15" max="16384" width="9" style="2"/>
  </cols>
  <sheetData>
    <row r="2" spans="2:15" ht="27.75" customHeight="1" x14ac:dyDescent="0.25">
      <c r="B2" s="3" t="s">
        <v>0</v>
      </c>
      <c r="C2" s="4" t="s">
        <v>1</v>
      </c>
      <c r="D2" s="4" t="s">
        <v>2</v>
      </c>
      <c r="E2" s="5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</row>
    <row r="3" spans="2:15" x14ac:dyDescent="0.25">
      <c r="B3" s="7" t="s">
        <v>14</v>
      </c>
      <c r="C3" s="8">
        <v>5</v>
      </c>
      <c r="D3" s="8">
        <v>120000</v>
      </c>
      <c r="E3" s="9">
        <v>10000</v>
      </c>
      <c r="F3" s="2">
        <v>5</v>
      </c>
      <c r="G3" s="2">
        <f>D3+E3</f>
        <v>130000</v>
      </c>
      <c r="H3" s="30">
        <f>E3/G3</f>
        <v>7.69230769230769E-2</v>
      </c>
      <c r="I3" s="2">
        <f>H3*G3+D3</f>
        <v>130000</v>
      </c>
      <c r="J3" s="2" t="b">
        <f>G3=I3</f>
        <v>1</v>
      </c>
      <c r="K3" s="2" t="b">
        <f>E3&gt;D3</f>
        <v>0</v>
      </c>
      <c r="L3" s="2" t="b">
        <f t="shared" ref="L3:L12" si="0">$C$15&lt;=C3</f>
        <v>0</v>
      </c>
      <c r="M3" s="2" t="b">
        <f>G3&gt;=$C$16</f>
        <v>1</v>
      </c>
      <c r="N3" s="2">
        <f>L3*M3</f>
        <v>0</v>
      </c>
      <c r="O3" s="2" t="b">
        <f>N3=1</f>
        <v>0</v>
      </c>
    </row>
    <row r="4" spans="2:15" x14ac:dyDescent="0.25">
      <c r="B4" s="7" t="s">
        <v>15</v>
      </c>
      <c r="C4" s="8">
        <v>4</v>
      </c>
      <c r="D4" s="8">
        <v>135000</v>
      </c>
      <c r="E4" s="9">
        <v>12000</v>
      </c>
      <c r="F4" s="2">
        <v>6</v>
      </c>
      <c r="G4" s="2">
        <f t="shared" ref="G4:G12" si="1">D4+E4</f>
        <v>147000</v>
      </c>
      <c r="H4" s="30">
        <f t="shared" ref="H4:H12" si="2">E4/G4</f>
        <v>8.1632653061224497E-2</v>
      </c>
      <c r="I4" s="2">
        <f t="shared" ref="I4:I12" si="3">H4*G4+D4</f>
        <v>147000</v>
      </c>
      <c r="J4" s="2" t="b">
        <f t="shared" ref="J4:J12" si="4">G4=I4</f>
        <v>1</v>
      </c>
      <c r="K4" s="2" t="b">
        <f t="shared" ref="K4:K12" si="5">E4&gt;D4</f>
        <v>0</v>
      </c>
      <c r="L4" s="2" t="b">
        <f t="shared" si="0"/>
        <v>0</v>
      </c>
      <c r="M4" s="2" t="b">
        <f t="shared" ref="M4:M12" si="6">G4&gt;=$C$16</f>
        <v>1</v>
      </c>
      <c r="N4" s="2">
        <f t="shared" ref="N4:N12" si="7">L4*M4</f>
        <v>0</v>
      </c>
      <c r="O4" s="2" t="b">
        <f t="shared" ref="O4:O12" si="8">N4=1</f>
        <v>0</v>
      </c>
    </row>
    <row r="5" spans="2:15" x14ac:dyDescent="0.25">
      <c r="B5" s="7" t="s">
        <v>16</v>
      </c>
      <c r="C5" s="8">
        <v>2</v>
      </c>
      <c r="D5" s="8">
        <v>75000</v>
      </c>
      <c r="E5" s="9">
        <v>5000</v>
      </c>
      <c r="F5" s="2">
        <v>7</v>
      </c>
      <c r="G5" s="2">
        <f t="shared" si="1"/>
        <v>80000</v>
      </c>
      <c r="H5" s="30">
        <f t="shared" si="2"/>
        <v>6.25E-2</v>
      </c>
      <c r="I5" s="2">
        <f t="shared" si="3"/>
        <v>80000</v>
      </c>
      <c r="J5" s="2" t="b">
        <f t="shared" si="4"/>
        <v>1</v>
      </c>
      <c r="K5" s="2" t="b">
        <f t="shared" si="5"/>
        <v>0</v>
      </c>
      <c r="L5" s="2" t="b">
        <f t="shared" si="0"/>
        <v>0</v>
      </c>
      <c r="M5" s="2" t="b">
        <f t="shared" si="6"/>
        <v>1</v>
      </c>
      <c r="N5" s="2">
        <f t="shared" si="7"/>
        <v>0</v>
      </c>
      <c r="O5" s="2" t="b">
        <f t="shared" si="8"/>
        <v>0</v>
      </c>
    </row>
    <row r="6" spans="2:15" x14ac:dyDescent="0.25">
      <c r="B6" s="7" t="s">
        <v>17</v>
      </c>
      <c r="C6" s="8">
        <v>6</v>
      </c>
      <c r="D6" s="8">
        <v>110000</v>
      </c>
      <c r="E6" s="9">
        <v>8000</v>
      </c>
      <c r="F6" s="2">
        <v>8</v>
      </c>
      <c r="G6" s="2">
        <f t="shared" si="1"/>
        <v>118000</v>
      </c>
      <c r="H6" s="30">
        <f t="shared" si="2"/>
        <v>6.7796610169491497E-2</v>
      </c>
      <c r="I6" s="2">
        <f t="shared" si="3"/>
        <v>118000</v>
      </c>
      <c r="J6" s="2" t="b">
        <f t="shared" si="4"/>
        <v>1</v>
      </c>
      <c r="K6" s="2" t="b">
        <f t="shared" si="5"/>
        <v>0</v>
      </c>
      <c r="L6" s="2" t="b">
        <f t="shared" si="0"/>
        <v>0</v>
      </c>
      <c r="M6" s="2" t="b">
        <f t="shared" si="6"/>
        <v>1</v>
      </c>
      <c r="N6" s="2">
        <f t="shared" si="7"/>
        <v>0</v>
      </c>
      <c r="O6" s="2" t="b">
        <f t="shared" si="8"/>
        <v>0</v>
      </c>
    </row>
    <row r="7" spans="2:15" x14ac:dyDescent="0.25">
      <c r="B7" s="7" t="s">
        <v>18</v>
      </c>
      <c r="C7" s="8">
        <v>3</v>
      </c>
      <c r="D7" s="8">
        <v>125000</v>
      </c>
      <c r="E7" s="9">
        <v>11000</v>
      </c>
      <c r="F7" s="2">
        <v>9</v>
      </c>
      <c r="G7" s="2">
        <f t="shared" si="1"/>
        <v>136000</v>
      </c>
      <c r="H7" s="30">
        <f t="shared" si="2"/>
        <v>8.0882352941176502E-2</v>
      </c>
      <c r="I7" s="2">
        <f t="shared" si="3"/>
        <v>136000</v>
      </c>
      <c r="J7" s="2" t="b">
        <f t="shared" si="4"/>
        <v>1</v>
      </c>
      <c r="K7" s="2" t="b">
        <f t="shared" si="5"/>
        <v>0</v>
      </c>
      <c r="L7" s="2" t="b">
        <f t="shared" si="0"/>
        <v>0</v>
      </c>
      <c r="M7" s="2" t="b">
        <f t="shared" si="6"/>
        <v>1</v>
      </c>
      <c r="N7" s="2">
        <f t="shared" si="7"/>
        <v>0</v>
      </c>
      <c r="O7" s="2" t="b">
        <f t="shared" si="8"/>
        <v>0</v>
      </c>
    </row>
    <row r="8" spans="2:15" x14ac:dyDescent="0.25">
      <c r="B8" s="7" t="s">
        <v>19</v>
      </c>
      <c r="C8" s="8">
        <v>7</v>
      </c>
      <c r="D8" s="8">
        <v>90000</v>
      </c>
      <c r="E8" s="9">
        <v>7000</v>
      </c>
      <c r="F8" s="2">
        <v>10</v>
      </c>
      <c r="G8" s="2">
        <f t="shared" si="1"/>
        <v>97000</v>
      </c>
      <c r="H8" s="30">
        <f t="shared" si="2"/>
        <v>7.2164948453608199E-2</v>
      </c>
      <c r="I8" s="2">
        <f t="shared" si="3"/>
        <v>97000</v>
      </c>
      <c r="J8" s="2" t="b">
        <f t="shared" si="4"/>
        <v>1</v>
      </c>
      <c r="K8" s="2" t="b">
        <f t="shared" si="5"/>
        <v>0</v>
      </c>
      <c r="L8" s="2" t="b">
        <f t="shared" si="0"/>
        <v>0</v>
      </c>
      <c r="M8" s="2" t="b">
        <f t="shared" si="6"/>
        <v>1</v>
      </c>
      <c r="N8" s="2">
        <f t="shared" si="7"/>
        <v>0</v>
      </c>
      <c r="O8" s="2" t="b">
        <f t="shared" si="8"/>
        <v>0</v>
      </c>
    </row>
    <row r="9" spans="2:15" x14ac:dyDescent="0.25">
      <c r="B9" s="7" t="s">
        <v>20</v>
      </c>
      <c r="C9" s="8">
        <v>10</v>
      </c>
      <c r="D9" s="8">
        <v>150000</v>
      </c>
      <c r="E9" s="9">
        <v>15000</v>
      </c>
      <c r="F9" s="2">
        <v>11</v>
      </c>
      <c r="G9" s="2">
        <f t="shared" si="1"/>
        <v>165000</v>
      </c>
      <c r="H9" s="30">
        <f t="shared" si="2"/>
        <v>9.0909090909090898E-2</v>
      </c>
      <c r="I9" s="2">
        <f t="shared" si="3"/>
        <v>165000</v>
      </c>
      <c r="J9" s="2" t="b">
        <f t="shared" si="4"/>
        <v>1</v>
      </c>
      <c r="K9" s="2" t="b">
        <f t="shared" si="5"/>
        <v>0</v>
      </c>
      <c r="L9" s="2" t="b">
        <f t="shared" si="0"/>
        <v>1</v>
      </c>
      <c r="M9" s="2" t="b">
        <f t="shared" si="6"/>
        <v>1</v>
      </c>
      <c r="N9" s="2">
        <f t="shared" si="7"/>
        <v>1</v>
      </c>
      <c r="O9" s="2" t="b">
        <f t="shared" si="8"/>
        <v>1</v>
      </c>
    </row>
    <row r="10" spans="2:15" x14ac:dyDescent="0.25">
      <c r="B10" s="7" t="s">
        <v>21</v>
      </c>
      <c r="C10" s="8">
        <v>8</v>
      </c>
      <c r="D10" s="8">
        <v>130000</v>
      </c>
      <c r="E10" s="9">
        <v>13000</v>
      </c>
      <c r="F10" s="2">
        <v>12</v>
      </c>
      <c r="G10" s="2">
        <f t="shared" si="1"/>
        <v>143000</v>
      </c>
      <c r="H10" s="30">
        <f t="shared" si="2"/>
        <v>9.0909090909090898E-2</v>
      </c>
      <c r="I10" s="2">
        <f t="shared" si="3"/>
        <v>143000</v>
      </c>
      <c r="J10" s="2" t="b">
        <f t="shared" si="4"/>
        <v>1</v>
      </c>
      <c r="K10" s="2" t="b">
        <f t="shared" si="5"/>
        <v>0</v>
      </c>
      <c r="L10" s="2" t="b">
        <f t="shared" si="0"/>
        <v>0</v>
      </c>
      <c r="M10" s="2" t="b">
        <f t="shared" si="6"/>
        <v>1</v>
      </c>
      <c r="N10" s="2">
        <f t="shared" si="7"/>
        <v>0</v>
      </c>
      <c r="O10" s="2" t="b">
        <f t="shared" si="8"/>
        <v>0</v>
      </c>
    </row>
    <row r="11" spans="2:15" x14ac:dyDescent="0.25">
      <c r="B11" s="7" t="s">
        <v>22</v>
      </c>
      <c r="C11" s="8">
        <v>3</v>
      </c>
      <c r="D11" s="8">
        <v>140000</v>
      </c>
      <c r="E11" s="9">
        <v>14000</v>
      </c>
      <c r="F11" s="2">
        <v>13</v>
      </c>
      <c r="G11" s="2">
        <f t="shared" si="1"/>
        <v>154000</v>
      </c>
      <c r="H11" s="30">
        <f t="shared" si="2"/>
        <v>9.0909090909090898E-2</v>
      </c>
      <c r="I11" s="2">
        <f t="shared" si="3"/>
        <v>154000</v>
      </c>
      <c r="J11" s="2" t="b">
        <f t="shared" si="4"/>
        <v>1</v>
      </c>
      <c r="K11" s="2" t="b">
        <f t="shared" si="5"/>
        <v>0</v>
      </c>
      <c r="L11" s="2" t="b">
        <f t="shared" si="0"/>
        <v>0</v>
      </c>
      <c r="M11" s="2" t="b">
        <f t="shared" si="6"/>
        <v>1</v>
      </c>
      <c r="N11" s="2">
        <f t="shared" si="7"/>
        <v>0</v>
      </c>
      <c r="O11" s="2" t="b">
        <f t="shared" si="8"/>
        <v>0</v>
      </c>
    </row>
    <row r="12" spans="2:15" x14ac:dyDescent="0.25">
      <c r="B12" s="31" t="s">
        <v>23</v>
      </c>
      <c r="C12" s="32">
        <v>5</v>
      </c>
      <c r="D12" s="32">
        <v>115000</v>
      </c>
      <c r="E12" s="33">
        <v>9000</v>
      </c>
      <c r="F12" s="2">
        <v>14</v>
      </c>
      <c r="G12" s="2">
        <f t="shared" si="1"/>
        <v>124000</v>
      </c>
      <c r="H12" s="30">
        <f t="shared" si="2"/>
        <v>7.25806451612903E-2</v>
      </c>
      <c r="I12" s="2">
        <f t="shared" si="3"/>
        <v>124000</v>
      </c>
      <c r="J12" s="2" t="b">
        <f t="shared" si="4"/>
        <v>1</v>
      </c>
      <c r="K12" s="2" t="b">
        <f t="shared" si="5"/>
        <v>0</v>
      </c>
      <c r="L12" s="2" t="b">
        <f t="shared" si="0"/>
        <v>0</v>
      </c>
      <c r="M12" s="2" t="b">
        <f t="shared" si="6"/>
        <v>1</v>
      </c>
      <c r="N12" s="2">
        <f t="shared" si="7"/>
        <v>0</v>
      </c>
      <c r="O12" s="2" t="b">
        <f t="shared" si="8"/>
        <v>0</v>
      </c>
    </row>
    <row r="13" spans="2:15" x14ac:dyDescent="0.25">
      <c r="B13" s="34" t="s">
        <v>24</v>
      </c>
      <c r="C13" s="35">
        <f>(C3+C4+C5+C6+C7+C8+C9+C10+C11+C12)/10</f>
        <v>5.3</v>
      </c>
      <c r="D13" s="35">
        <f>(D3+D4+D5+D6+D7+D8+D9+D10+D11+D12)/10</f>
        <v>119000</v>
      </c>
      <c r="E13" s="35">
        <f>(E3+E4+E5+E6+E7+E8+E9+E10+E11+E12)/10</f>
        <v>10400</v>
      </c>
    </row>
    <row r="14" spans="2:15" x14ac:dyDescent="0.25">
      <c r="B14" s="36" t="s">
        <v>25</v>
      </c>
      <c r="C14" s="2">
        <f>AVERAGE(C3:C12)</f>
        <v>5.3</v>
      </c>
      <c r="D14" s="2">
        <f>AVERAGE(D3:D12)</f>
        <v>119000</v>
      </c>
      <c r="E14" s="2">
        <f>AVERAGE(E3:E12)</f>
        <v>10400</v>
      </c>
    </row>
    <row r="15" spans="2:15" x14ac:dyDescent="0.25">
      <c r="B15" s="34" t="s">
        <v>26</v>
      </c>
      <c r="C15" s="35">
        <f>COUNT(C3:C12)</f>
        <v>10</v>
      </c>
      <c r="D15" s="35">
        <f>COUNT(D3:D12)</f>
        <v>10</v>
      </c>
      <c r="E15" s="35">
        <f>COUNT(E3:E12)</f>
        <v>10</v>
      </c>
    </row>
    <row r="16" spans="2:15" x14ac:dyDescent="0.25">
      <c r="B16" s="34" t="s">
        <v>27</v>
      </c>
      <c r="C16" s="35">
        <f>COUNTIF($C$3:$C$12,"&lt;=5")</f>
        <v>6</v>
      </c>
      <c r="D16" s="35">
        <f>COUNTIF(D3:D12,"&gt;=90000")</f>
        <v>9</v>
      </c>
      <c r="E16" s="35"/>
      <c r="J16" s="14"/>
    </row>
    <row r="17" spans="2:11" x14ac:dyDescent="0.25">
      <c r="B17" s="34" t="s">
        <v>27</v>
      </c>
      <c r="C17" s="35">
        <f>COUNTIF($C$3:$C$12,"&lt;="&amp;K18)</f>
        <v>6</v>
      </c>
      <c r="D17" s="35">
        <f>COUNTIF(D4:D13,"&gt;="&amp;K19)</f>
        <v>9</v>
      </c>
      <c r="E17" s="35"/>
      <c r="J17" s="14" t="s">
        <v>28</v>
      </c>
    </row>
    <row r="18" spans="2:11" x14ac:dyDescent="0.25">
      <c r="J18" s="15" t="s">
        <v>29</v>
      </c>
      <c r="K18" s="16">
        <v>5</v>
      </c>
    </row>
    <row r="19" spans="2:11" x14ac:dyDescent="0.25">
      <c r="J19" s="17" t="s">
        <v>30</v>
      </c>
      <c r="K19" s="1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2"/>
  <sheetViews>
    <sheetView zoomScale="147" zoomScaleNormal="147" workbookViewId="0">
      <selection activeCell="I3" sqref="I3"/>
    </sheetView>
  </sheetViews>
  <sheetFormatPr defaultColWidth="9" defaultRowHeight="15" x14ac:dyDescent="0.25"/>
  <cols>
    <col min="1" max="1" width="5.125" style="2" customWidth="1"/>
    <col min="2" max="2" width="22.625" style="2" customWidth="1"/>
    <col min="3" max="3" width="10.375" style="2" customWidth="1"/>
    <col min="4" max="4" width="12.25" style="2" customWidth="1"/>
    <col min="5" max="5" width="11.625" style="2" customWidth="1"/>
    <col min="6" max="6" width="10.625" style="2" customWidth="1"/>
    <col min="7" max="7" width="9" style="2"/>
    <col min="8" max="9" width="11" style="2" customWidth="1"/>
    <col min="10" max="11" width="9" style="2"/>
    <col min="12" max="12" width="12.625" style="2" customWidth="1"/>
    <col min="13" max="16384" width="9" style="2"/>
  </cols>
  <sheetData>
    <row r="2" spans="2:12" s="1" customFormat="1" ht="27.75" customHeight="1" x14ac:dyDescent="0.25">
      <c r="B2" s="3" t="s">
        <v>0</v>
      </c>
      <c r="C2" s="4" t="s">
        <v>1</v>
      </c>
      <c r="D2" s="4" t="s">
        <v>2</v>
      </c>
      <c r="E2" s="5" t="s">
        <v>3</v>
      </c>
      <c r="F2" s="6" t="s">
        <v>4</v>
      </c>
      <c r="G2" s="6" t="s">
        <v>5</v>
      </c>
      <c r="H2" s="6" t="s">
        <v>6</v>
      </c>
      <c r="I2" s="6" t="s">
        <v>7</v>
      </c>
      <c r="K2" s="24" t="s">
        <v>31</v>
      </c>
      <c r="L2" s="25" t="s">
        <v>32</v>
      </c>
    </row>
    <row r="3" spans="2:12" x14ac:dyDescent="0.25">
      <c r="B3" s="7" t="s">
        <v>14</v>
      </c>
      <c r="C3" s="8">
        <v>5</v>
      </c>
      <c r="D3" s="8">
        <v>120000</v>
      </c>
      <c r="E3" s="9">
        <v>10000</v>
      </c>
      <c r="F3" s="2">
        <f>C3</f>
        <v>5</v>
      </c>
      <c r="G3" s="2">
        <f>D3+E3</f>
        <v>130000</v>
      </c>
      <c r="H3" s="10">
        <f>E3/D3</f>
        <v>8.3333333333333301E-2</v>
      </c>
      <c r="I3" s="19">
        <f>D3+D3*H3</f>
        <v>130000</v>
      </c>
      <c r="K3" s="26" t="s">
        <v>33</v>
      </c>
      <c r="L3" s="27" t="s">
        <v>34</v>
      </c>
    </row>
    <row r="4" spans="2:12" x14ac:dyDescent="0.25">
      <c r="B4" s="7" t="s">
        <v>15</v>
      </c>
      <c r="C4" s="8">
        <v>4</v>
      </c>
      <c r="D4" s="8">
        <v>135000</v>
      </c>
      <c r="E4" s="9">
        <v>12000</v>
      </c>
      <c r="F4" s="2">
        <f t="shared" ref="F4:F12" si="0">C4</f>
        <v>4</v>
      </c>
      <c r="G4" s="2">
        <f t="shared" ref="G4:G12" si="1">D4+E4</f>
        <v>147000</v>
      </c>
      <c r="H4" s="10">
        <f t="shared" ref="H4:H12" si="2">E4/D4</f>
        <v>8.8888888888888906E-2</v>
      </c>
      <c r="I4" s="19">
        <f t="shared" ref="I4:I12" si="3">D4+D4*H4</f>
        <v>147000</v>
      </c>
      <c r="K4" s="26" t="s">
        <v>35</v>
      </c>
      <c r="L4" s="27" t="s">
        <v>36</v>
      </c>
    </row>
    <row r="5" spans="2:12" x14ac:dyDescent="0.25">
      <c r="B5" s="7" t="s">
        <v>16</v>
      </c>
      <c r="C5" s="8">
        <v>2</v>
      </c>
      <c r="D5" s="8">
        <v>75000</v>
      </c>
      <c r="E5" s="9">
        <v>5000</v>
      </c>
      <c r="F5" s="2">
        <f t="shared" si="0"/>
        <v>2</v>
      </c>
      <c r="G5" s="2">
        <f t="shared" si="1"/>
        <v>80000</v>
      </c>
      <c r="H5" s="10">
        <f t="shared" si="2"/>
        <v>6.6666666666666693E-2</v>
      </c>
      <c r="I5" s="19">
        <f t="shared" si="3"/>
        <v>80000</v>
      </c>
      <c r="K5" s="26" t="s">
        <v>37</v>
      </c>
      <c r="L5" s="27" t="s">
        <v>38</v>
      </c>
    </row>
    <row r="6" spans="2:12" x14ac:dyDescent="0.25">
      <c r="B6" s="7" t="s">
        <v>17</v>
      </c>
      <c r="C6" s="8">
        <v>6</v>
      </c>
      <c r="D6" s="8">
        <v>110000</v>
      </c>
      <c r="E6" s="9">
        <v>8000</v>
      </c>
      <c r="F6" s="2">
        <f t="shared" si="0"/>
        <v>6</v>
      </c>
      <c r="G6" s="2">
        <f t="shared" si="1"/>
        <v>118000</v>
      </c>
      <c r="H6" s="10">
        <f t="shared" si="2"/>
        <v>7.2727272727272696E-2</v>
      </c>
      <c r="I6" s="19">
        <f t="shared" si="3"/>
        <v>118000</v>
      </c>
      <c r="K6" s="26" t="s">
        <v>39</v>
      </c>
      <c r="L6" s="27" t="s">
        <v>40</v>
      </c>
    </row>
    <row r="7" spans="2:12" x14ac:dyDescent="0.25">
      <c r="B7" s="7" t="s">
        <v>18</v>
      </c>
      <c r="C7" s="8">
        <v>3</v>
      </c>
      <c r="D7" s="8">
        <v>125000</v>
      </c>
      <c r="E7" s="9">
        <v>11000</v>
      </c>
      <c r="F7" s="2">
        <f t="shared" si="0"/>
        <v>3</v>
      </c>
      <c r="G7" s="2">
        <f t="shared" si="1"/>
        <v>136000</v>
      </c>
      <c r="H7" s="10">
        <f t="shared" si="2"/>
        <v>8.7999999999999995E-2</v>
      </c>
      <c r="I7" s="19">
        <f t="shared" si="3"/>
        <v>136000</v>
      </c>
      <c r="K7" s="26" t="s">
        <v>41</v>
      </c>
      <c r="L7" s="27" t="s">
        <v>42</v>
      </c>
    </row>
    <row r="8" spans="2:12" x14ac:dyDescent="0.25">
      <c r="B8" s="7" t="s">
        <v>19</v>
      </c>
      <c r="C8" s="8">
        <v>7</v>
      </c>
      <c r="D8" s="8">
        <v>90000</v>
      </c>
      <c r="E8" s="9">
        <v>7000</v>
      </c>
      <c r="F8" s="2">
        <f t="shared" si="0"/>
        <v>7</v>
      </c>
      <c r="G8" s="2">
        <f t="shared" si="1"/>
        <v>97000</v>
      </c>
      <c r="H8" s="10">
        <f t="shared" si="2"/>
        <v>7.7777777777777807E-2</v>
      </c>
      <c r="I8" s="19">
        <f t="shared" si="3"/>
        <v>97000</v>
      </c>
      <c r="K8" s="28" t="s">
        <v>43</v>
      </c>
      <c r="L8" s="29" t="s">
        <v>44</v>
      </c>
    </row>
    <row r="9" spans="2:12" x14ac:dyDescent="0.25">
      <c r="B9" s="7" t="s">
        <v>20</v>
      </c>
      <c r="C9" s="8">
        <v>10</v>
      </c>
      <c r="D9" s="8">
        <v>150000</v>
      </c>
      <c r="E9" s="9">
        <v>15000</v>
      </c>
      <c r="F9" s="2">
        <f t="shared" si="0"/>
        <v>10</v>
      </c>
      <c r="G9" s="2">
        <f t="shared" si="1"/>
        <v>165000</v>
      </c>
      <c r="H9" s="10">
        <f t="shared" si="2"/>
        <v>0.1</v>
      </c>
      <c r="I9" s="19">
        <f t="shared" si="3"/>
        <v>165000</v>
      </c>
    </row>
    <row r="10" spans="2:12" x14ac:dyDescent="0.25">
      <c r="B10" s="7" t="s">
        <v>21</v>
      </c>
      <c r="C10" s="8">
        <v>8</v>
      </c>
      <c r="D10" s="8">
        <v>130000</v>
      </c>
      <c r="E10" s="9">
        <v>13000</v>
      </c>
      <c r="F10" s="2">
        <f t="shared" si="0"/>
        <v>8</v>
      </c>
      <c r="G10" s="2">
        <f t="shared" si="1"/>
        <v>143000</v>
      </c>
      <c r="H10" s="10">
        <f t="shared" si="2"/>
        <v>0.1</v>
      </c>
      <c r="I10" s="19">
        <f t="shared" si="3"/>
        <v>143000</v>
      </c>
    </row>
    <row r="11" spans="2:12" x14ac:dyDescent="0.25">
      <c r="B11" s="7" t="s">
        <v>22</v>
      </c>
      <c r="C11" s="8">
        <v>3</v>
      </c>
      <c r="D11" s="8">
        <v>140000</v>
      </c>
      <c r="E11" s="9">
        <v>14000</v>
      </c>
      <c r="F11" s="2">
        <f t="shared" si="0"/>
        <v>3</v>
      </c>
      <c r="G11" s="2">
        <f t="shared" si="1"/>
        <v>154000</v>
      </c>
      <c r="H11" s="10">
        <f t="shared" si="2"/>
        <v>0.1</v>
      </c>
      <c r="I11" s="19">
        <f t="shared" si="3"/>
        <v>154000</v>
      </c>
    </row>
    <row r="12" spans="2:12" x14ac:dyDescent="0.25">
      <c r="B12" s="11" t="s">
        <v>23</v>
      </c>
      <c r="C12" s="12">
        <v>5</v>
      </c>
      <c r="D12" s="12">
        <v>115000</v>
      </c>
      <c r="E12" s="13">
        <v>9000</v>
      </c>
      <c r="F12" s="2">
        <f t="shared" si="0"/>
        <v>5</v>
      </c>
      <c r="G12" s="2">
        <f t="shared" si="1"/>
        <v>124000</v>
      </c>
      <c r="H12" s="10">
        <f t="shared" si="2"/>
        <v>7.8260869565217397E-2</v>
      </c>
      <c r="I12" s="19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12"/>
  <sheetViews>
    <sheetView zoomScale="120" zoomScaleNormal="120" workbookViewId="0">
      <selection activeCell="E30" sqref="E30"/>
    </sheetView>
  </sheetViews>
  <sheetFormatPr defaultColWidth="9" defaultRowHeight="15" x14ac:dyDescent="0.25"/>
  <cols>
    <col min="1" max="1" width="5.125" style="2" customWidth="1"/>
    <col min="2" max="2" width="22.625" style="2" customWidth="1"/>
    <col min="3" max="3" width="10.375" style="2" customWidth="1"/>
    <col min="4" max="4" width="12.25" style="2" customWidth="1"/>
    <col min="5" max="5" width="11.625" style="2" customWidth="1"/>
    <col min="6" max="6" width="10.625" style="2" hidden="1" customWidth="1"/>
    <col min="7" max="7" width="9" style="2"/>
    <col min="8" max="8" width="11" style="2" hidden="1" customWidth="1"/>
    <col min="9" max="9" width="11" style="2" customWidth="1"/>
    <col min="10" max="10" width="17.25" style="2" customWidth="1"/>
    <col min="11" max="11" width="14.25" style="2" customWidth="1"/>
    <col min="12" max="13" width="9" style="2"/>
    <col min="14" max="14" width="19.125" style="2" customWidth="1"/>
    <col min="15" max="16384" width="9" style="2"/>
  </cols>
  <sheetData>
    <row r="2" spans="2:14" s="1" customFormat="1" ht="27.75" customHeight="1" x14ac:dyDescent="0.25">
      <c r="B2" s="3" t="s">
        <v>0</v>
      </c>
      <c r="C2" s="4" t="s">
        <v>1</v>
      </c>
      <c r="D2" s="4" t="s">
        <v>2</v>
      </c>
      <c r="E2" s="5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M2" s="20" t="s">
        <v>31</v>
      </c>
      <c r="N2" s="21" t="s">
        <v>32</v>
      </c>
    </row>
    <row r="3" spans="2:14" x14ac:dyDescent="0.25">
      <c r="B3" s="7" t="s">
        <v>14</v>
      </c>
      <c r="C3" s="8">
        <v>5</v>
      </c>
      <c r="D3" s="8">
        <v>120000</v>
      </c>
      <c r="E3" s="9">
        <v>10000</v>
      </c>
      <c r="F3" s="2">
        <f>C3</f>
        <v>5</v>
      </c>
      <c r="G3" s="2">
        <f>D3+E3</f>
        <v>130000</v>
      </c>
      <c r="H3" s="10">
        <f>E3/D3</f>
        <v>8.3333333333333301E-2</v>
      </c>
      <c r="I3" s="19">
        <f>D3+D3*H3</f>
        <v>130000</v>
      </c>
      <c r="J3" s="2" t="b">
        <f>G3=I3</f>
        <v>1</v>
      </c>
      <c r="K3" s="2" t="b">
        <f>E3&gt;D3</f>
        <v>0</v>
      </c>
      <c r="M3" s="22" t="s">
        <v>45</v>
      </c>
      <c r="N3" s="23" t="s">
        <v>46</v>
      </c>
    </row>
    <row r="4" spans="2:14" x14ac:dyDescent="0.25">
      <c r="B4" s="7" t="s">
        <v>15</v>
      </c>
      <c r="C4" s="8">
        <v>4</v>
      </c>
      <c r="D4" s="8">
        <v>135000</v>
      </c>
      <c r="E4" s="9">
        <v>12000</v>
      </c>
      <c r="F4" s="2">
        <f t="shared" ref="F4:F12" si="0">C4</f>
        <v>4</v>
      </c>
      <c r="G4" s="2">
        <f t="shared" ref="G4:G12" si="1">D4+E4</f>
        <v>147000</v>
      </c>
      <c r="H4" s="10">
        <f t="shared" ref="H4:H12" si="2">E4/D4</f>
        <v>8.8888888888888906E-2</v>
      </c>
      <c r="I4" s="19">
        <f t="shared" ref="I4:I12" si="3">D4+D4*H4</f>
        <v>147000</v>
      </c>
      <c r="J4" s="2" t="b">
        <f t="shared" ref="J4:J12" si="4">G4=I4</f>
        <v>1</v>
      </c>
      <c r="K4" s="2" t="b">
        <f t="shared" ref="K4:K12" si="5">E4&gt;D4</f>
        <v>0</v>
      </c>
      <c r="M4" s="22" t="s">
        <v>47</v>
      </c>
      <c r="N4" s="23" t="s">
        <v>48</v>
      </c>
    </row>
    <row r="5" spans="2:14" x14ac:dyDescent="0.25">
      <c r="B5" s="7" t="s">
        <v>16</v>
      </c>
      <c r="C5" s="8">
        <v>2</v>
      </c>
      <c r="D5" s="8">
        <v>75000</v>
      </c>
      <c r="E5" s="9">
        <v>5000</v>
      </c>
      <c r="F5" s="2">
        <f t="shared" si="0"/>
        <v>2</v>
      </c>
      <c r="G5" s="2">
        <f t="shared" si="1"/>
        <v>80000</v>
      </c>
      <c r="H5" s="10">
        <f t="shared" si="2"/>
        <v>6.6666666666666693E-2</v>
      </c>
      <c r="I5" s="19">
        <f t="shared" si="3"/>
        <v>80000</v>
      </c>
      <c r="J5" s="2" t="b">
        <f t="shared" si="4"/>
        <v>1</v>
      </c>
      <c r="K5" s="2" t="b">
        <f t="shared" si="5"/>
        <v>0</v>
      </c>
      <c r="M5" s="22" t="s">
        <v>49</v>
      </c>
      <c r="N5" s="23" t="s">
        <v>50</v>
      </c>
    </row>
    <row r="6" spans="2:14" x14ac:dyDescent="0.25">
      <c r="B6" s="7" t="s">
        <v>17</v>
      </c>
      <c r="C6" s="8">
        <v>6</v>
      </c>
      <c r="D6" s="8">
        <v>110000</v>
      </c>
      <c r="E6" s="9">
        <v>8000</v>
      </c>
      <c r="F6" s="2">
        <f t="shared" si="0"/>
        <v>6</v>
      </c>
      <c r="G6" s="2">
        <f t="shared" si="1"/>
        <v>118000</v>
      </c>
      <c r="H6" s="10">
        <f t="shared" si="2"/>
        <v>7.2727272727272696E-2</v>
      </c>
      <c r="I6" s="19">
        <f t="shared" si="3"/>
        <v>118000</v>
      </c>
      <c r="J6" s="2" t="b">
        <f t="shared" si="4"/>
        <v>1</v>
      </c>
      <c r="K6" s="2" t="b">
        <f t="shared" si="5"/>
        <v>0</v>
      </c>
      <c r="M6" s="22" t="s">
        <v>51</v>
      </c>
      <c r="N6" s="23" t="s">
        <v>52</v>
      </c>
    </row>
    <row r="7" spans="2:14" x14ac:dyDescent="0.25">
      <c r="B7" s="7" t="s">
        <v>18</v>
      </c>
      <c r="C7" s="8">
        <v>3</v>
      </c>
      <c r="D7" s="8">
        <v>125000</v>
      </c>
      <c r="E7" s="9">
        <v>11000</v>
      </c>
      <c r="F7" s="2">
        <f t="shared" si="0"/>
        <v>3</v>
      </c>
      <c r="G7" s="2">
        <f t="shared" si="1"/>
        <v>136000</v>
      </c>
      <c r="H7" s="10">
        <f t="shared" si="2"/>
        <v>8.7999999999999995E-2</v>
      </c>
      <c r="I7" s="19">
        <f t="shared" si="3"/>
        <v>136000</v>
      </c>
      <c r="J7" s="2" t="b">
        <f t="shared" si="4"/>
        <v>1</v>
      </c>
      <c r="K7" s="2" t="b">
        <f t="shared" si="5"/>
        <v>0</v>
      </c>
      <c r="M7" s="22" t="s">
        <v>53</v>
      </c>
      <c r="N7" s="23" t="s">
        <v>54</v>
      </c>
    </row>
    <row r="8" spans="2:14" x14ac:dyDescent="0.25">
      <c r="B8" s="7" t="s">
        <v>19</v>
      </c>
      <c r="C8" s="8">
        <v>7</v>
      </c>
      <c r="D8" s="8">
        <v>90000</v>
      </c>
      <c r="E8" s="9">
        <v>7000</v>
      </c>
      <c r="F8" s="2">
        <f t="shared" si="0"/>
        <v>7</v>
      </c>
      <c r="G8" s="2">
        <f t="shared" si="1"/>
        <v>97000</v>
      </c>
      <c r="H8" s="10">
        <f t="shared" si="2"/>
        <v>7.7777777777777807E-2</v>
      </c>
      <c r="I8" s="19">
        <f t="shared" si="3"/>
        <v>97000</v>
      </c>
      <c r="J8" s="2" t="b">
        <f t="shared" si="4"/>
        <v>1</v>
      </c>
      <c r="K8" s="2" t="b">
        <f t="shared" si="5"/>
        <v>0</v>
      </c>
      <c r="M8" s="22" t="s">
        <v>55</v>
      </c>
      <c r="N8" s="23" t="s">
        <v>56</v>
      </c>
    </row>
    <row r="9" spans="2:14" x14ac:dyDescent="0.25">
      <c r="B9" s="7" t="s">
        <v>20</v>
      </c>
      <c r="C9" s="8">
        <v>10</v>
      </c>
      <c r="D9" s="8">
        <v>150000</v>
      </c>
      <c r="E9" s="9">
        <v>15000</v>
      </c>
      <c r="F9" s="2">
        <f t="shared" si="0"/>
        <v>10</v>
      </c>
      <c r="G9" s="2">
        <f t="shared" si="1"/>
        <v>165000</v>
      </c>
      <c r="H9" s="10">
        <f t="shared" si="2"/>
        <v>0.1</v>
      </c>
      <c r="I9" s="19">
        <f t="shared" si="3"/>
        <v>165000</v>
      </c>
      <c r="J9" s="2" t="b">
        <f t="shared" si="4"/>
        <v>1</v>
      </c>
      <c r="K9" s="2" t="b">
        <f t="shared" si="5"/>
        <v>0</v>
      </c>
    </row>
    <row r="10" spans="2:14" x14ac:dyDescent="0.25">
      <c r="B10" s="7" t="s">
        <v>21</v>
      </c>
      <c r="C10" s="8">
        <v>8</v>
      </c>
      <c r="D10" s="8">
        <v>130000</v>
      </c>
      <c r="E10" s="9">
        <v>13000</v>
      </c>
      <c r="F10" s="2">
        <f t="shared" si="0"/>
        <v>8</v>
      </c>
      <c r="G10" s="2">
        <f t="shared" si="1"/>
        <v>143000</v>
      </c>
      <c r="H10" s="10">
        <f t="shared" si="2"/>
        <v>0.1</v>
      </c>
      <c r="I10" s="19">
        <f t="shared" si="3"/>
        <v>143000</v>
      </c>
      <c r="J10" s="2" t="b">
        <f t="shared" si="4"/>
        <v>1</v>
      </c>
      <c r="K10" s="2" t="b">
        <f t="shared" si="5"/>
        <v>0</v>
      </c>
    </row>
    <row r="11" spans="2:14" x14ac:dyDescent="0.25">
      <c r="B11" s="7" t="s">
        <v>22</v>
      </c>
      <c r="C11" s="8">
        <v>3</v>
      </c>
      <c r="D11" s="8">
        <v>140000</v>
      </c>
      <c r="E11" s="9">
        <v>14000</v>
      </c>
      <c r="F11" s="2">
        <f t="shared" si="0"/>
        <v>3</v>
      </c>
      <c r="G11" s="2">
        <f t="shared" si="1"/>
        <v>154000</v>
      </c>
      <c r="H11" s="10">
        <f t="shared" si="2"/>
        <v>0.1</v>
      </c>
      <c r="I11" s="19">
        <f t="shared" si="3"/>
        <v>154000</v>
      </c>
      <c r="J11" s="2" t="b">
        <f t="shared" si="4"/>
        <v>1</v>
      </c>
      <c r="K11" s="2" t="b">
        <f t="shared" si="5"/>
        <v>0</v>
      </c>
    </row>
    <row r="12" spans="2:14" x14ac:dyDescent="0.25">
      <c r="B12" s="11" t="s">
        <v>23</v>
      </c>
      <c r="C12" s="12">
        <v>5</v>
      </c>
      <c r="D12" s="12">
        <v>115000</v>
      </c>
      <c r="E12" s="13">
        <v>9000</v>
      </c>
      <c r="F12" s="2">
        <f t="shared" si="0"/>
        <v>5</v>
      </c>
      <c r="G12" s="2">
        <f t="shared" si="1"/>
        <v>124000</v>
      </c>
      <c r="H12" s="10">
        <f t="shared" si="2"/>
        <v>7.8260869565217397E-2</v>
      </c>
      <c r="I12" s="19">
        <f t="shared" si="3"/>
        <v>124000</v>
      </c>
      <c r="J12" s="2" t="b">
        <f t="shared" si="4"/>
        <v>1</v>
      </c>
      <c r="K12" s="2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16"/>
  <sheetViews>
    <sheetView zoomScale="120" zoomScaleNormal="120" workbookViewId="0">
      <selection activeCell="B14" sqref="B14:C16"/>
    </sheetView>
  </sheetViews>
  <sheetFormatPr defaultColWidth="9" defaultRowHeight="15" x14ac:dyDescent="0.25"/>
  <cols>
    <col min="1" max="1" width="5.125" style="2" customWidth="1"/>
    <col min="2" max="2" width="22.625" style="2" customWidth="1"/>
    <col min="3" max="3" width="10.375" style="2" customWidth="1"/>
    <col min="4" max="4" width="12.25" style="2" customWidth="1"/>
    <col min="5" max="5" width="11.625" style="2" customWidth="1"/>
    <col min="6" max="6" width="10.625" style="2" hidden="1" customWidth="1"/>
    <col min="7" max="7" width="9" style="2"/>
    <col min="8" max="9" width="11" style="2" hidden="1" customWidth="1"/>
    <col min="10" max="10" width="17.25" style="2" hidden="1" customWidth="1"/>
    <col min="11" max="11" width="14.25" style="2" hidden="1" customWidth="1"/>
    <col min="12" max="12" width="10.125" style="2" customWidth="1"/>
    <col min="13" max="13" width="9" style="2"/>
    <col min="14" max="14" width="10.375" style="2" customWidth="1"/>
    <col min="15" max="16384" width="9" style="2"/>
  </cols>
  <sheetData>
    <row r="2" spans="2:15" s="1" customFormat="1" ht="27.75" customHeight="1" x14ac:dyDescent="0.25">
      <c r="B2" s="3" t="s">
        <v>0</v>
      </c>
      <c r="C2" s="4" t="s">
        <v>1</v>
      </c>
      <c r="D2" s="4" t="s">
        <v>2</v>
      </c>
      <c r="E2" s="5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</row>
    <row r="3" spans="2:15" x14ac:dyDescent="0.25">
      <c r="B3" s="7" t="s">
        <v>14</v>
      </c>
      <c r="C3" s="8">
        <v>5</v>
      </c>
      <c r="D3" s="8">
        <v>120000</v>
      </c>
      <c r="E3" s="9">
        <v>10000</v>
      </c>
      <c r="F3" s="2">
        <f>C3</f>
        <v>5</v>
      </c>
      <c r="G3" s="2">
        <f>D3+E3</f>
        <v>130000</v>
      </c>
      <c r="H3" s="10">
        <f>E3/D3</f>
        <v>8.3333333333333301E-2</v>
      </c>
      <c r="I3" s="19">
        <f>D3+D3*H3</f>
        <v>130000</v>
      </c>
      <c r="J3" s="2" t="b">
        <f>G3=I3</f>
        <v>1</v>
      </c>
      <c r="K3" s="2" t="b">
        <f>E3&gt;D3</f>
        <v>0</v>
      </c>
      <c r="L3" s="2" t="b">
        <f>$C$15&lt;=C3</f>
        <v>1</v>
      </c>
      <c r="M3" s="2" t="b">
        <f>$G3&gt;=$C$16</f>
        <v>1</v>
      </c>
      <c r="N3" s="2">
        <f>L3*M3</f>
        <v>1</v>
      </c>
      <c r="O3" s="2" t="b">
        <f>L3*M3=1</f>
        <v>1</v>
      </c>
    </row>
    <row r="4" spans="2:15" x14ac:dyDescent="0.25">
      <c r="B4" s="7" t="s">
        <v>15</v>
      </c>
      <c r="C4" s="8">
        <v>4</v>
      </c>
      <c r="D4" s="8">
        <v>135000</v>
      </c>
      <c r="E4" s="9">
        <v>12000</v>
      </c>
      <c r="F4" s="2">
        <f t="shared" ref="F4:F12" si="0">C4</f>
        <v>4</v>
      </c>
      <c r="G4" s="2">
        <f t="shared" ref="G4:G12" si="1">D4+E4</f>
        <v>147000</v>
      </c>
      <c r="H4" s="10">
        <f t="shared" ref="H4:H12" si="2">E4/D4</f>
        <v>8.8888888888888906E-2</v>
      </c>
      <c r="I4" s="19">
        <f t="shared" ref="I4:I12" si="3">D4+D4*H4</f>
        <v>147000</v>
      </c>
      <c r="J4" s="2" t="b">
        <f t="shared" ref="J4:J12" si="4">G4=I4</f>
        <v>1</v>
      </c>
      <c r="K4" s="2" t="b">
        <f t="shared" ref="K4:K12" si="5">E4&gt;D4</f>
        <v>0</v>
      </c>
      <c r="L4" s="2" t="b">
        <f t="shared" ref="L4:L12" si="6">$C$15&lt;=C4</f>
        <v>0</v>
      </c>
      <c r="M4" s="2" t="b">
        <f t="shared" ref="M4:M12" si="7">$G4&gt;=$C$16</f>
        <v>1</v>
      </c>
      <c r="N4" s="2">
        <f t="shared" ref="N4:N12" si="8">L4*M4</f>
        <v>0</v>
      </c>
      <c r="O4" s="2" t="b">
        <f t="shared" ref="O4:O12" si="9">L4*M4=1</f>
        <v>0</v>
      </c>
    </row>
    <row r="5" spans="2:15" x14ac:dyDescent="0.25">
      <c r="B5" s="7" t="s">
        <v>16</v>
      </c>
      <c r="C5" s="8">
        <v>2</v>
      </c>
      <c r="D5" s="8">
        <v>75000</v>
      </c>
      <c r="E5" s="9">
        <v>5000</v>
      </c>
      <c r="F5" s="2">
        <f t="shared" si="0"/>
        <v>2</v>
      </c>
      <c r="G5" s="2">
        <f t="shared" si="1"/>
        <v>80000</v>
      </c>
      <c r="H5" s="10">
        <f t="shared" si="2"/>
        <v>6.6666666666666693E-2</v>
      </c>
      <c r="I5" s="19">
        <f t="shared" si="3"/>
        <v>80000</v>
      </c>
      <c r="J5" s="2" t="b">
        <f t="shared" si="4"/>
        <v>1</v>
      </c>
      <c r="K5" s="2" t="b">
        <f t="shared" si="5"/>
        <v>0</v>
      </c>
      <c r="L5" s="2" t="b">
        <f t="shared" si="6"/>
        <v>0</v>
      </c>
      <c r="M5" s="2" t="b">
        <f t="shared" si="7"/>
        <v>0</v>
      </c>
      <c r="N5" s="2">
        <f t="shared" si="8"/>
        <v>0</v>
      </c>
      <c r="O5" s="2" t="b">
        <f t="shared" si="9"/>
        <v>0</v>
      </c>
    </row>
    <row r="6" spans="2:15" x14ac:dyDescent="0.25">
      <c r="B6" s="7" t="s">
        <v>17</v>
      </c>
      <c r="C6" s="8">
        <v>6</v>
      </c>
      <c r="D6" s="8">
        <v>110000</v>
      </c>
      <c r="E6" s="9">
        <v>8000</v>
      </c>
      <c r="F6" s="2">
        <f t="shared" si="0"/>
        <v>6</v>
      </c>
      <c r="G6" s="2">
        <f t="shared" si="1"/>
        <v>118000</v>
      </c>
      <c r="H6" s="10">
        <f t="shared" si="2"/>
        <v>7.2727272727272696E-2</v>
      </c>
      <c r="I6" s="19">
        <f t="shared" si="3"/>
        <v>118000</v>
      </c>
      <c r="J6" s="2" t="b">
        <f t="shared" si="4"/>
        <v>1</v>
      </c>
      <c r="K6" s="2" t="b">
        <f t="shared" si="5"/>
        <v>0</v>
      </c>
      <c r="L6" s="2" t="b">
        <f t="shared" si="6"/>
        <v>1</v>
      </c>
      <c r="M6" s="2" t="b">
        <f t="shared" si="7"/>
        <v>1</v>
      </c>
      <c r="N6" s="2">
        <f t="shared" si="8"/>
        <v>1</v>
      </c>
      <c r="O6" s="2" t="b">
        <f t="shared" si="9"/>
        <v>1</v>
      </c>
    </row>
    <row r="7" spans="2:15" x14ac:dyDescent="0.25">
      <c r="B7" s="7" t="s">
        <v>18</v>
      </c>
      <c r="C7" s="8">
        <v>3</v>
      </c>
      <c r="D7" s="8">
        <v>125000</v>
      </c>
      <c r="E7" s="9">
        <v>11000</v>
      </c>
      <c r="F7" s="2">
        <f t="shared" si="0"/>
        <v>3</v>
      </c>
      <c r="G7" s="2">
        <f t="shared" si="1"/>
        <v>136000</v>
      </c>
      <c r="H7" s="10">
        <f t="shared" si="2"/>
        <v>8.7999999999999995E-2</v>
      </c>
      <c r="I7" s="19">
        <f t="shared" si="3"/>
        <v>136000</v>
      </c>
      <c r="J7" s="2" t="b">
        <f t="shared" si="4"/>
        <v>1</v>
      </c>
      <c r="K7" s="2" t="b">
        <f t="shared" si="5"/>
        <v>0</v>
      </c>
      <c r="L7" s="2" t="b">
        <f t="shared" si="6"/>
        <v>0</v>
      </c>
      <c r="M7" s="2" t="b">
        <f t="shared" si="7"/>
        <v>1</v>
      </c>
      <c r="N7" s="2">
        <f t="shared" si="8"/>
        <v>0</v>
      </c>
      <c r="O7" s="2" t="b">
        <f t="shared" si="9"/>
        <v>0</v>
      </c>
    </row>
    <row r="8" spans="2:15" x14ac:dyDescent="0.25">
      <c r="B8" s="7" t="s">
        <v>19</v>
      </c>
      <c r="C8" s="8">
        <v>7</v>
      </c>
      <c r="D8" s="8">
        <v>90000</v>
      </c>
      <c r="E8" s="9">
        <v>7000</v>
      </c>
      <c r="F8" s="2">
        <f t="shared" si="0"/>
        <v>7</v>
      </c>
      <c r="G8" s="2">
        <f t="shared" si="1"/>
        <v>97000</v>
      </c>
      <c r="H8" s="10">
        <f t="shared" si="2"/>
        <v>7.7777777777777807E-2</v>
      </c>
      <c r="I8" s="19">
        <f t="shared" si="3"/>
        <v>97000</v>
      </c>
      <c r="J8" s="2" t="b">
        <f t="shared" si="4"/>
        <v>1</v>
      </c>
      <c r="K8" s="2" t="b">
        <f t="shared" si="5"/>
        <v>0</v>
      </c>
      <c r="L8" s="2" t="b">
        <f t="shared" si="6"/>
        <v>1</v>
      </c>
      <c r="M8" s="2" t="b">
        <f t="shared" si="7"/>
        <v>1</v>
      </c>
      <c r="N8" s="2">
        <f t="shared" si="8"/>
        <v>1</v>
      </c>
      <c r="O8" s="2" t="b">
        <f t="shared" si="9"/>
        <v>1</v>
      </c>
    </row>
    <row r="9" spans="2:15" x14ac:dyDescent="0.25">
      <c r="B9" s="7" t="s">
        <v>20</v>
      </c>
      <c r="C9" s="8">
        <v>10</v>
      </c>
      <c r="D9" s="8">
        <v>150000</v>
      </c>
      <c r="E9" s="9">
        <v>15000</v>
      </c>
      <c r="F9" s="2">
        <f t="shared" si="0"/>
        <v>10</v>
      </c>
      <c r="G9" s="2">
        <f t="shared" si="1"/>
        <v>165000</v>
      </c>
      <c r="H9" s="10">
        <f t="shared" si="2"/>
        <v>0.1</v>
      </c>
      <c r="I9" s="19">
        <f t="shared" si="3"/>
        <v>165000</v>
      </c>
      <c r="J9" s="2" t="b">
        <f t="shared" si="4"/>
        <v>1</v>
      </c>
      <c r="K9" s="2" t="b">
        <f t="shared" si="5"/>
        <v>0</v>
      </c>
      <c r="L9" s="2" t="b">
        <f t="shared" si="6"/>
        <v>1</v>
      </c>
      <c r="M9" s="2" t="b">
        <f t="shared" si="7"/>
        <v>1</v>
      </c>
      <c r="N9" s="2">
        <f t="shared" si="8"/>
        <v>1</v>
      </c>
      <c r="O9" s="2" t="b">
        <f t="shared" si="9"/>
        <v>1</v>
      </c>
    </row>
    <row r="10" spans="2:15" x14ac:dyDescent="0.25">
      <c r="B10" s="7" t="s">
        <v>21</v>
      </c>
      <c r="C10" s="8">
        <v>8</v>
      </c>
      <c r="D10" s="8">
        <v>130000</v>
      </c>
      <c r="E10" s="9">
        <v>13000</v>
      </c>
      <c r="F10" s="2">
        <f t="shared" si="0"/>
        <v>8</v>
      </c>
      <c r="G10" s="2">
        <f t="shared" si="1"/>
        <v>143000</v>
      </c>
      <c r="H10" s="10">
        <f t="shared" si="2"/>
        <v>0.1</v>
      </c>
      <c r="I10" s="19">
        <f t="shared" si="3"/>
        <v>143000</v>
      </c>
      <c r="J10" s="2" t="b">
        <f t="shared" si="4"/>
        <v>1</v>
      </c>
      <c r="K10" s="2" t="b">
        <f t="shared" si="5"/>
        <v>0</v>
      </c>
      <c r="L10" s="2" t="b">
        <f t="shared" si="6"/>
        <v>1</v>
      </c>
      <c r="M10" s="2" t="b">
        <f t="shared" si="7"/>
        <v>1</v>
      </c>
      <c r="N10" s="2">
        <f t="shared" si="8"/>
        <v>1</v>
      </c>
      <c r="O10" s="2" t="b">
        <f t="shared" si="9"/>
        <v>1</v>
      </c>
    </row>
    <row r="11" spans="2:15" x14ac:dyDescent="0.25">
      <c r="B11" s="7" t="s">
        <v>22</v>
      </c>
      <c r="C11" s="8">
        <v>3</v>
      </c>
      <c r="D11" s="8">
        <v>140000</v>
      </c>
      <c r="E11" s="9">
        <v>14000</v>
      </c>
      <c r="F11" s="2">
        <f t="shared" si="0"/>
        <v>3</v>
      </c>
      <c r="G11" s="2">
        <f t="shared" si="1"/>
        <v>154000</v>
      </c>
      <c r="H11" s="10">
        <f t="shared" si="2"/>
        <v>0.1</v>
      </c>
      <c r="I11" s="19">
        <f t="shared" si="3"/>
        <v>154000</v>
      </c>
      <c r="J11" s="2" t="b">
        <f t="shared" si="4"/>
        <v>1</v>
      </c>
      <c r="K11" s="2" t="b">
        <f t="shared" si="5"/>
        <v>0</v>
      </c>
      <c r="L11" s="2" t="b">
        <f t="shared" si="6"/>
        <v>0</v>
      </c>
      <c r="M11" s="2" t="b">
        <f t="shared" si="7"/>
        <v>1</v>
      </c>
      <c r="N11" s="2">
        <f t="shared" si="8"/>
        <v>0</v>
      </c>
      <c r="O11" s="2" t="b">
        <f t="shared" si="9"/>
        <v>0</v>
      </c>
    </row>
    <row r="12" spans="2:15" x14ac:dyDescent="0.25">
      <c r="B12" s="11" t="s">
        <v>23</v>
      </c>
      <c r="C12" s="12">
        <v>5</v>
      </c>
      <c r="D12" s="12">
        <v>115000</v>
      </c>
      <c r="E12" s="13">
        <v>9000</v>
      </c>
      <c r="F12" s="2">
        <f t="shared" si="0"/>
        <v>5</v>
      </c>
      <c r="G12" s="2">
        <f t="shared" si="1"/>
        <v>124000</v>
      </c>
      <c r="H12" s="10">
        <f t="shared" si="2"/>
        <v>7.8260869565217397E-2</v>
      </c>
      <c r="I12" s="19">
        <f t="shared" si="3"/>
        <v>124000</v>
      </c>
      <c r="J12" s="2" t="b">
        <f t="shared" si="4"/>
        <v>1</v>
      </c>
      <c r="K12" s="2" t="b">
        <f t="shared" si="5"/>
        <v>0</v>
      </c>
      <c r="L12" s="2" t="b">
        <f t="shared" si="6"/>
        <v>1</v>
      </c>
      <c r="M12" s="2" t="b">
        <f t="shared" si="7"/>
        <v>1</v>
      </c>
      <c r="N12" s="2">
        <f t="shared" si="8"/>
        <v>1</v>
      </c>
      <c r="O12" s="2" t="b">
        <f t="shared" si="9"/>
        <v>1</v>
      </c>
    </row>
    <row r="14" spans="2:15" x14ac:dyDescent="0.25">
      <c r="B14" s="14" t="s">
        <v>28</v>
      </c>
    </row>
    <row r="15" spans="2:15" x14ac:dyDescent="0.25">
      <c r="B15" s="15" t="s">
        <v>29</v>
      </c>
      <c r="C15" s="16">
        <v>5</v>
      </c>
    </row>
    <row r="16" spans="2:15" x14ac:dyDescent="0.25">
      <c r="B16" s="17" t="s">
        <v>30</v>
      </c>
      <c r="C16" s="18">
        <v>90000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C72F-0767-4D58-BCAA-B5DC61C9667E}">
  <dimension ref="A1:L36"/>
  <sheetViews>
    <sheetView tabSelected="1" topLeftCell="B13" zoomScale="134" zoomScaleNormal="220" workbookViewId="0">
      <selection activeCell="I37" sqref="I37"/>
    </sheetView>
  </sheetViews>
  <sheetFormatPr defaultRowHeight="13.5" x14ac:dyDescent="0.15"/>
  <cols>
    <col min="1" max="1" width="26.375" bestFit="1" customWidth="1"/>
    <col min="2" max="2" width="20.125" bestFit="1" customWidth="1"/>
    <col min="3" max="3" width="21.25" bestFit="1" customWidth="1"/>
    <col min="4" max="4" width="17.125" bestFit="1" customWidth="1"/>
    <col min="5" max="5" width="9.875" style="38" bestFit="1" customWidth="1"/>
    <col min="6" max="6" width="13" style="38" bestFit="1" customWidth="1"/>
    <col min="7" max="7" width="15.375" style="37" customWidth="1"/>
    <col min="8" max="8" width="17.125" bestFit="1" customWidth="1"/>
    <col min="9" max="9" width="13" bestFit="1" customWidth="1"/>
    <col min="10" max="10" width="20.125" bestFit="1" customWidth="1"/>
    <col min="11" max="11" width="10.875" bestFit="1" customWidth="1"/>
  </cols>
  <sheetData>
    <row r="1" spans="1:12" ht="15" x14ac:dyDescent="0.25">
      <c r="A1" s="39" t="str" cm="1">
        <f t="array" ref="A1:D11">Comparison_Operators!B2:E12</f>
        <v>Job Title</v>
      </c>
      <c r="B1" s="39" t="str">
        <v xml:space="preserve"> Experience (Years)</v>
      </c>
      <c r="C1" s="39" t="str">
        <v>Annual Salary ($USD)</v>
      </c>
      <c r="D1" s="39" t="str">
        <v>Bonus Max ($USD)</v>
      </c>
      <c r="E1" s="39" t="s">
        <v>57</v>
      </c>
      <c r="F1" s="39" t="s">
        <v>58</v>
      </c>
      <c r="G1" s="39" t="s">
        <v>59</v>
      </c>
      <c r="H1" s="45"/>
      <c r="I1" s="45"/>
      <c r="J1" s="45"/>
      <c r="K1" s="45"/>
    </row>
    <row r="2" spans="1:12" x14ac:dyDescent="0.15">
      <c r="A2" s="40" t="str">
        <v>Data Scientist</v>
      </c>
      <c r="B2" s="41">
        <v>5</v>
      </c>
      <c r="C2" s="41">
        <v>120000</v>
      </c>
      <c r="D2" s="41">
        <v>10000</v>
      </c>
      <c r="E2" s="42">
        <f>C2+D2</f>
        <v>130000</v>
      </c>
      <c r="F2" s="43">
        <f>D2/C2</f>
        <v>8.3333333333333329E-2</v>
      </c>
      <c r="G2" s="44">
        <f>C2+C2*F2</f>
        <v>130000</v>
      </c>
    </row>
    <row r="3" spans="1:12" x14ac:dyDescent="0.15">
      <c r="A3" s="40" t="str">
        <v>Machine Learning Engineer</v>
      </c>
      <c r="B3" s="41">
        <v>4</v>
      </c>
      <c r="C3" s="41">
        <v>135000</v>
      </c>
      <c r="D3" s="41">
        <v>12000</v>
      </c>
      <c r="E3" s="42">
        <f t="shared" ref="E3:E11" si="0">C3+D3</f>
        <v>147000</v>
      </c>
      <c r="F3" s="43">
        <f t="shared" ref="F3:F11" si="1">D3/C3</f>
        <v>8.8888888888888892E-2</v>
      </c>
      <c r="G3" s="44">
        <f t="shared" ref="G3:G11" si="2">C3+C3*F3</f>
        <v>147000</v>
      </c>
    </row>
    <row r="4" spans="1:12" x14ac:dyDescent="0.15">
      <c r="A4" s="40" t="str">
        <v>Data Analyst</v>
      </c>
      <c r="B4" s="41">
        <v>2</v>
      </c>
      <c r="C4" s="41">
        <v>75000</v>
      </c>
      <c r="D4" s="41">
        <v>5000</v>
      </c>
      <c r="E4" s="42">
        <f t="shared" si="0"/>
        <v>80000</v>
      </c>
      <c r="F4" s="43">
        <f t="shared" si="1"/>
        <v>6.6666666666666666E-2</v>
      </c>
      <c r="G4" s="44">
        <f t="shared" si="2"/>
        <v>80000</v>
      </c>
    </row>
    <row r="5" spans="1:12" x14ac:dyDescent="0.15">
      <c r="A5" s="40" t="str">
        <v>Business Intelligence Dev</v>
      </c>
      <c r="B5" s="41">
        <v>6</v>
      </c>
      <c r="C5" s="41">
        <v>110000</v>
      </c>
      <c r="D5" s="41">
        <v>8000</v>
      </c>
      <c r="E5" s="42">
        <f t="shared" si="0"/>
        <v>118000</v>
      </c>
      <c r="F5" s="43">
        <f t="shared" si="1"/>
        <v>7.2727272727272724E-2</v>
      </c>
      <c r="G5" s="44">
        <f t="shared" si="2"/>
        <v>118000</v>
      </c>
    </row>
    <row r="6" spans="1:12" x14ac:dyDescent="0.15">
      <c r="A6" s="40" t="str">
        <v>Data Engineer</v>
      </c>
      <c r="B6" s="41">
        <v>3</v>
      </c>
      <c r="C6" s="41">
        <v>125000</v>
      </c>
      <c r="D6" s="41">
        <v>11000</v>
      </c>
      <c r="E6" s="42">
        <f t="shared" si="0"/>
        <v>136000</v>
      </c>
      <c r="F6" s="43">
        <f t="shared" si="1"/>
        <v>8.7999999999999995E-2</v>
      </c>
      <c r="G6" s="44">
        <f t="shared" si="2"/>
        <v>136000</v>
      </c>
    </row>
    <row r="7" spans="1:12" x14ac:dyDescent="0.15">
      <c r="A7" s="40" t="str">
        <v>Statistician</v>
      </c>
      <c r="B7" s="41">
        <v>7</v>
      </c>
      <c r="C7" s="41">
        <v>90000</v>
      </c>
      <c r="D7" s="41">
        <v>7000</v>
      </c>
      <c r="E7" s="42">
        <f t="shared" si="0"/>
        <v>97000</v>
      </c>
      <c r="F7" s="43">
        <f t="shared" si="1"/>
        <v>7.7777777777777779E-2</v>
      </c>
      <c r="G7" s="44">
        <f t="shared" si="2"/>
        <v>97000</v>
      </c>
    </row>
    <row r="8" spans="1:12" x14ac:dyDescent="0.15">
      <c r="A8" s="40" t="str">
        <v>Data Architect</v>
      </c>
      <c r="B8" s="41">
        <v>10</v>
      </c>
      <c r="C8" s="41">
        <v>150000</v>
      </c>
      <c r="D8" s="41">
        <v>15000</v>
      </c>
      <c r="E8" s="42">
        <f t="shared" si="0"/>
        <v>165000</v>
      </c>
      <c r="F8" s="43">
        <f t="shared" si="1"/>
        <v>0.1</v>
      </c>
      <c r="G8" s="44">
        <f t="shared" si="2"/>
        <v>165000</v>
      </c>
    </row>
    <row r="9" spans="1:12" x14ac:dyDescent="0.15">
      <c r="A9" s="40" t="str">
        <v>Research Scientist</v>
      </c>
      <c r="B9" s="41">
        <v>8</v>
      </c>
      <c r="C9" s="41">
        <v>130000</v>
      </c>
      <c r="D9" s="41">
        <v>13000</v>
      </c>
      <c r="E9" s="42">
        <f t="shared" si="0"/>
        <v>143000</v>
      </c>
      <c r="F9" s="43">
        <f t="shared" si="1"/>
        <v>0.1</v>
      </c>
      <c r="G9" s="44">
        <f t="shared" si="2"/>
        <v>143000</v>
      </c>
    </row>
    <row r="10" spans="1:12" x14ac:dyDescent="0.15">
      <c r="A10" s="40" t="str">
        <v>AI Specialist</v>
      </c>
      <c r="B10" s="41">
        <v>3</v>
      </c>
      <c r="C10" s="41">
        <v>140000</v>
      </c>
      <c r="D10" s="41">
        <v>14000</v>
      </c>
      <c r="E10" s="42">
        <f t="shared" si="0"/>
        <v>154000</v>
      </c>
      <c r="F10" s="43">
        <f t="shared" si="1"/>
        <v>0.1</v>
      </c>
      <c r="G10" s="44">
        <f t="shared" si="2"/>
        <v>154000</v>
      </c>
    </row>
    <row r="11" spans="1:12" x14ac:dyDescent="0.15">
      <c r="A11" s="40" t="str">
        <v>Big Data Engineer</v>
      </c>
      <c r="B11" s="41">
        <v>5</v>
      </c>
      <c r="C11" s="41">
        <v>115000</v>
      </c>
      <c r="D11" s="41">
        <v>9000</v>
      </c>
      <c r="E11" s="42">
        <f t="shared" si="0"/>
        <v>124000</v>
      </c>
      <c r="F11" s="43">
        <f t="shared" si="1"/>
        <v>7.8260869565217397E-2</v>
      </c>
      <c r="G11" s="44">
        <f t="shared" si="2"/>
        <v>124000</v>
      </c>
    </row>
    <row r="14" spans="1:12" ht="15" x14ac:dyDescent="0.25">
      <c r="B14" s="47" t="s">
        <v>60</v>
      </c>
      <c r="C14" s="48"/>
      <c r="D14" s="48"/>
      <c r="G14" s="47" t="s">
        <v>61</v>
      </c>
      <c r="H14" s="47"/>
      <c r="I14" s="47"/>
      <c r="J14" s="47"/>
      <c r="K14" s="47"/>
      <c r="L14" s="47"/>
    </row>
    <row r="15" spans="1:12" x14ac:dyDescent="0.15">
      <c r="B15" s="41" t="str" cm="1">
        <f t="array" ref="B15:C17">Cell_Referencing!B14:C16</f>
        <v>Job Goals:</v>
      </c>
      <c r="C15">
        <v>0</v>
      </c>
      <c r="G15" s="44" t="str">
        <f>B15</f>
        <v>Job Goals:</v>
      </c>
    </row>
    <row r="16" spans="1:12" x14ac:dyDescent="0.15">
      <c r="B16" s="41" t="str">
        <v>Experience (&lt;=)</v>
      </c>
      <c r="C16" s="41">
        <v>5</v>
      </c>
      <c r="G16" s="44" t="str">
        <f>B16</f>
        <v>Experience (&lt;=)</v>
      </c>
      <c r="H16" s="41">
        <v>5</v>
      </c>
    </row>
    <row r="17" spans="1:10" x14ac:dyDescent="0.15">
      <c r="B17" s="41" t="str">
        <v>Total Salary (&gt;=)</v>
      </c>
      <c r="C17" s="41">
        <v>90000</v>
      </c>
      <c r="G17" s="44" t="str">
        <f>B17</f>
        <v>Total Salary (&gt;=)</v>
      </c>
      <c r="H17" s="41">
        <v>90000</v>
      </c>
    </row>
    <row r="20" spans="1:10" ht="15" x14ac:dyDescent="0.15">
      <c r="A20" s="46" t="str" cm="1">
        <f t="array" ref="A20:D20">Cell_Referencing!L2:O2</f>
        <v>Meets Experience</v>
      </c>
      <c r="B20" s="46" t="str">
        <v>Meets Salary</v>
      </c>
      <c r="C20" s="46" t="str">
        <v>Meets Both (1 or 0)</v>
      </c>
      <c r="D20" s="46" t="str">
        <v>Meets Both</v>
      </c>
      <c r="G20" s="37" t="str" cm="1">
        <f t="array" ref="G20:J30">Data!B2:E12</f>
        <v>Job Title</v>
      </c>
      <c r="H20" t="str">
        <v xml:space="preserve"> Experience (Years)</v>
      </c>
      <c r="I20" t="str">
        <v>Annual Salary ($USD)</v>
      </c>
      <c r="J20" t="str">
        <v>Bonus Max ($USD)</v>
      </c>
    </row>
    <row r="21" spans="1:10" x14ac:dyDescent="0.15">
      <c r="A21" s="42" t="b">
        <f>$C$16&lt;=B2</f>
        <v>1</v>
      </c>
      <c r="B21" s="42" t="b">
        <f>$E2&gt;=$C$17</f>
        <v>1</v>
      </c>
      <c r="C21" s="42">
        <f>A21*B21</f>
        <v>1</v>
      </c>
      <c r="D21" s="42" t="b">
        <f>C21=1</f>
        <v>1</v>
      </c>
      <c r="G21" s="37" t="str">
        <v>Data Scientist</v>
      </c>
      <c r="H21">
        <v>5</v>
      </c>
      <c r="I21">
        <v>120000</v>
      </c>
      <c r="J21">
        <v>10000</v>
      </c>
    </row>
    <row r="22" spans="1:10" x14ac:dyDescent="0.15">
      <c r="A22" s="42" t="b">
        <f t="shared" ref="A22:A30" si="3">$C$16&lt;=B3</f>
        <v>0</v>
      </c>
      <c r="B22" s="42" t="b">
        <f t="shared" ref="B22:B30" si="4">$E3&gt;=$C$17</f>
        <v>1</v>
      </c>
      <c r="C22" s="42">
        <f t="shared" ref="C22:C30" si="5">A22*B22</f>
        <v>0</v>
      </c>
      <c r="D22" s="42" t="b">
        <f t="shared" ref="D22:D30" si="6">C22=1</f>
        <v>0</v>
      </c>
      <c r="G22" s="37" t="str">
        <v>Machine Learning Engineer</v>
      </c>
      <c r="H22">
        <v>4</v>
      </c>
      <c r="I22">
        <v>135000</v>
      </c>
      <c r="J22">
        <v>12000</v>
      </c>
    </row>
    <row r="23" spans="1:10" x14ac:dyDescent="0.15">
      <c r="A23" s="42" t="b">
        <f t="shared" si="3"/>
        <v>0</v>
      </c>
      <c r="B23" s="42" t="b">
        <f t="shared" si="4"/>
        <v>0</v>
      </c>
      <c r="C23" s="42">
        <f t="shared" si="5"/>
        <v>0</v>
      </c>
      <c r="D23" s="42" t="b">
        <f t="shared" si="6"/>
        <v>0</v>
      </c>
      <c r="G23" s="37" t="str">
        <v>Data Analyst</v>
      </c>
      <c r="H23">
        <v>2</v>
      </c>
      <c r="I23">
        <v>75000</v>
      </c>
      <c r="J23">
        <v>5000</v>
      </c>
    </row>
    <row r="24" spans="1:10" x14ac:dyDescent="0.15">
      <c r="A24" s="42" t="b">
        <f t="shared" si="3"/>
        <v>1</v>
      </c>
      <c r="B24" s="42" t="b">
        <f t="shared" si="4"/>
        <v>1</v>
      </c>
      <c r="C24" s="42">
        <f t="shared" si="5"/>
        <v>1</v>
      </c>
      <c r="D24" s="42" t="b">
        <f t="shared" si="6"/>
        <v>1</v>
      </c>
      <c r="G24" s="37" t="str">
        <v>Business Intelligence Dev</v>
      </c>
      <c r="H24">
        <v>6</v>
      </c>
      <c r="I24">
        <v>110000</v>
      </c>
      <c r="J24">
        <v>8000</v>
      </c>
    </row>
    <row r="25" spans="1:10" x14ac:dyDescent="0.15">
      <c r="A25" s="42" t="b">
        <f t="shared" si="3"/>
        <v>0</v>
      </c>
      <c r="B25" s="42" t="b">
        <f t="shared" si="4"/>
        <v>1</v>
      </c>
      <c r="C25" s="42">
        <f t="shared" si="5"/>
        <v>0</v>
      </c>
      <c r="D25" s="42" t="b">
        <f t="shared" si="6"/>
        <v>0</v>
      </c>
      <c r="G25" s="37" t="str">
        <v>Data Engineer</v>
      </c>
      <c r="H25">
        <v>3</v>
      </c>
      <c r="I25">
        <v>125000</v>
      </c>
      <c r="J25">
        <v>11000</v>
      </c>
    </row>
    <row r="26" spans="1:10" x14ac:dyDescent="0.15">
      <c r="A26" s="42" t="b">
        <f t="shared" si="3"/>
        <v>1</v>
      </c>
      <c r="B26" s="42" t="b">
        <f t="shared" si="4"/>
        <v>1</v>
      </c>
      <c r="C26" s="42">
        <f t="shared" si="5"/>
        <v>1</v>
      </c>
      <c r="D26" s="42" t="b">
        <f t="shared" si="6"/>
        <v>1</v>
      </c>
      <c r="G26" s="37" t="str">
        <v>Statistician</v>
      </c>
      <c r="H26">
        <v>7</v>
      </c>
      <c r="I26">
        <v>90000</v>
      </c>
      <c r="J26">
        <v>7000</v>
      </c>
    </row>
    <row r="27" spans="1:10" x14ac:dyDescent="0.15">
      <c r="A27" s="42" t="b">
        <f t="shared" si="3"/>
        <v>1</v>
      </c>
      <c r="B27" s="42" t="b">
        <f t="shared" si="4"/>
        <v>1</v>
      </c>
      <c r="C27" s="42">
        <f t="shared" si="5"/>
        <v>1</v>
      </c>
      <c r="D27" s="42" t="b">
        <f t="shared" si="6"/>
        <v>1</v>
      </c>
      <c r="G27" s="37" t="str">
        <v>Data Architect</v>
      </c>
      <c r="H27">
        <v>10</v>
      </c>
      <c r="I27">
        <v>150000</v>
      </c>
      <c r="J27">
        <v>15000</v>
      </c>
    </row>
    <row r="28" spans="1:10" x14ac:dyDescent="0.15">
      <c r="A28" s="42" t="b">
        <f t="shared" si="3"/>
        <v>1</v>
      </c>
      <c r="B28" s="42" t="b">
        <f t="shared" si="4"/>
        <v>1</v>
      </c>
      <c r="C28" s="42">
        <f t="shared" si="5"/>
        <v>1</v>
      </c>
      <c r="D28" s="42" t="b">
        <f t="shared" si="6"/>
        <v>1</v>
      </c>
      <c r="G28" s="37" t="str">
        <v>Research Scientist</v>
      </c>
      <c r="H28">
        <v>8</v>
      </c>
      <c r="I28">
        <v>130000</v>
      </c>
      <c r="J28">
        <v>13000</v>
      </c>
    </row>
    <row r="29" spans="1:10" x14ac:dyDescent="0.15">
      <c r="A29" s="42" t="b">
        <f t="shared" si="3"/>
        <v>0</v>
      </c>
      <c r="B29" s="42" t="b">
        <f t="shared" si="4"/>
        <v>1</v>
      </c>
      <c r="C29" s="42">
        <f t="shared" si="5"/>
        <v>0</v>
      </c>
      <c r="D29" s="42" t="b">
        <f t="shared" si="6"/>
        <v>0</v>
      </c>
      <c r="G29" s="37" t="str">
        <v>AI Specialist</v>
      </c>
      <c r="H29">
        <v>3</v>
      </c>
      <c r="I29">
        <v>140000</v>
      </c>
      <c r="J29">
        <v>14000</v>
      </c>
    </row>
    <row r="30" spans="1:10" x14ac:dyDescent="0.15">
      <c r="A30" s="42" t="b">
        <f t="shared" si="3"/>
        <v>1</v>
      </c>
      <c r="B30" s="42" t="b">
        <f t="shared" si="4"/>
        <v>1</v>
      </c>
      <c r="C30" s="42">
        <f t="shared" si="5"/>
        <v>1</v>
      </c>
      <c r="D30" s="42" t="b">
        <f t="shared" si="6"/>
        <v>1</v>
      </c>
      <c r="G30" s="37" t="str">
        <v>Big Data Engineer</v>
      </c>
      <c r="H30">
        <v>5</v>
      </c>
      <c r="I30">
        <v>115000</v>
      </c>
      <c r="J30">
        <v>9000</v>
      </c>
    </row>
    <row r="31" spans="1:10" x14ac:dyDescent="0.15">
      <c r="A31" s="42"/>
      <c r="B31" s="42"/>
      <c r="C31" s="42"/>
      <c r="D31" s="42"/>
    </row>
    <row r="32" spans="1:10" ht="15" x14ac:dyDescent="0.25">
      <c r="G32" s="49" t="s">
        <v>62</v>
      </c>
      <c r="H32">
        <f>(H21+H22+H23+H24+H25+H26+H27+H28+H29+H30)/10</f>
        <v>5.3</v>
      </c>
      <c r="I32">
        <f t="shared" ref="I32:J32" si="7">(I21+I22+I23+I24+I25+I26+I27+I28+I29+I30)/10</f>
        <v>119000</v>
      </c>
      <c r="J32">
        <f t="shared" si="7"/>
        <v>10400</v>
      </c>
    </row>
    <row r="33" spans="7:10" ht="15" x14ac:dyDescent="0.25">
      <c r="G33" s="49" t="s">
        <v>63</v>
      </c>
      <c r="H33">
        <f>AVERAGE(H21:H30)</f>
        <v>5.3</v>
      </c>
      <c r="I33">
        <f t="shared" ref="I33:J33" si="8">AVERAGE(I21:I30)</f>
        <v>119000</v>
      </c>
      <c r="J33">
        <f t="shared" si="8"/>
        <v>10400</v>
      </c>
    </row>
    <row r="34" spans="7:10" ht="15" x14ac:dyDescent="0.25">
      <c r="G34" s="49" t="s">
        <v>64</v>
      </c>
      <c r="H34">
        <f>COUNT(H21:H30)</f>
        <v>10</v>
      </c>
      <c r="I34">
        <f t="shared" ref="I34:J34" si="9">COUNT(I21:I30)</f>
        <v>10</v>
      </c>
      <c r="J34">
        <f t="shared" si="9"/>
        <v>10</v>
      </c>
    </row>
    <row r="35" spans="7:10" ht="15" x14ac:dyDescent="0.25">
      <c r="G35" s="49" t="s">
        <v>65</v>
      </c>
      <c r="H35">
        <f>COUNTIF(H21:H30,"&lt;=5")</f>
        <v>6</v>
      </c>
      <c r="I35">
        <f>COUNTIF(I21:I30,"&gt;90000")</f>
        <v>8</v>
      </c>
    </row>
    <row r="36" spans="7:10" ht="15" x14ac:dyDescent="0.25">
      <c r="G36" s="49" t="s">
        <v>66</v>
      </c>
      <c r="H36">
        <f>COUNTIF(H21:H30,"&lt;="&amp;H16)</f>
        <v>6</v>
      </c>
      <c r="I36">
        <f>COUNTIF(I21:I30,"&gt;="&amp;H17)</f>
        <v>9</v>
      </c>
    </row>
  </sheetData>
  <mergeCells count="2">
    <mergeCell ref="B14:D14"/>
    <mergeCell ref="G14:L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Math_Operators</vt:lpstr>
      <vt:lpstr>Comparison_Operators</vt:lpstr>
      <vt:lpstr>Cell_Referencing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mdwashiful@outlook.com</cp:lastModifiedBy>
  <dcterms:created xsi:type="dcterms:W3CDTF">2024-07-16T20:11:00Z</dcterms:created>
  <dcterms:modified xsi:type="dcterms:W3CDTF">2026-08-20T18:36:23Z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64F6D4989EF2439391013D128C6E2790_12</vt:lpwstr>
  </property>
  <property fmtid="{D5CDD505-2E9C-101B-9397-08002B2CF9AE}" pid="3" name="KSOProductBuildVer">
    <vt:lpwstr>1033-12.2.0.22549</vt:lpwstr>
  </property>
</Properties>
</file>