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WASHIFUL HAQUE\Downloads\Excel Project\"/>
    </mc:Choice>
  </mc:AlternateContent>
  <xr:revisionPtr revIDLastSave="0" documentId="8_{ECB3ED28-CB5E-4478-A792-02E28FC05539}" xr6:coauthVersionLast="47" xr6:coauthVersionMax="47" xr10:uidLastSave="{00000000-0000-0000-0000-000000000000}"/>
  <bookViews>
    <workbookView xWindow="-120" yWindow="-120" windowWidth="29040" windowHeight="15720" xr2:uid="{1CD4E185-A2BC-4612-892A-D43D73DC505A}"/>
  </bookViews>
  <sheets>
    <sheet name="Sheet1" sheetId="1" r:id="rId1"/>
  </sheets>
  <definedNames>
    <definedName name="_xlchart.v1.0" hidden="1">Sheet1!$AB$3:$AB$26</definedName>
    <definedName name="_xlchart.v1.1" hidden="1">Sheet1!$AC$2</definedName>
    <definedName name="_xlchart.v1.2" hidden="1">Sheet1!$AC$3:$AC$26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" i="1"/>
  <c r="U3" i="1"/>
  <c r="Y3" i="1" s="1"/>
  <c r="U4" i="1"/>
  <c r="Y4" i="1" s="1"/>
  <c r="U5" i="1"/>
  <c r="Y5" i="1" s="1"/>
  <c r="U6" i="1"/>
  <c r="Y6" i="1" s="1"/>
  <c r="U7" i="1"/>
  <c r="Y7" i="1" s="1"/>
  <c r="U8" i="1"/>
  <c r="Y8" i="1" s="1"/>
  <c r="U9" i="1"/>
  <c r="Y9" i="1" s="1"/>
  <c r="U10" i="1"/>
  <c r="Y10" i="1" s="1"/>
  <c r="U11" i="1"/>
  <c r="Y11" i="1" s="1"/>
  <c r="U12" i="1"/>
  <c r="Y12" i="1" s="1"/>
  <c r="U13" i="1"/>
  <c r="Y13" i="1" s="1"/>
  <c r="U14" i="1"/>
  <c r="Y14" i="1" s="1"/>
  <c r="U15" i="1"/>
  <c r="Y15" i="1" s="1"/>
  <c r="U16" i="1"/>
  <c r="Y16" i="1" s="1"/>
  <c r="U17" i="1"/>
  <c r="Y17" i="1" s="1"/>
  <c r="U18" i="1"/>
  <c r="Y18" i="1" s="1"/>
  <c r="U19" i="1"/>
  <c r="Y19" i="1" s="1"/>
  <c r="U20" i="1"/>
  <c r="Y20" i="1" s="1"/>
  <c r="U21" i="1"/>
  <c r="Y21" i="1" s="1"/>
  <c r="U2" i="1"/>
  <c r="Y2" i="1" s="1"/>
  <c r="Q2" i="1"/>
  <c r="M3" i="1"/>
  <c r="O3" i="1" s="1"/>
  <c r="M4" i="1"/>
  <c r="O4" i="1" s="1"/>
  <c r="M5" i="1"/>
  <c r="O5" i="1" s="1"/>
  <c r="M6" i="1"/>
  <c r="O6" i="1" s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O20" i="1" s="1"/>
  <c r="M21" i="1"/>
  <c r="O21" i="1" s="1"/>
  <c r="M2" i="1"/>
  <c r="O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</calcChain>
</file>

<file path=xl/sharedStrings.xml><?xml version="1.0" encoding="utf-8"?>
<sst xmlns="http://schemas.openxmlformats.org/spreadsheetml/2006/main" count="162" uniqueCount="96">
  <si>
    <t>Applicant ID</t>
  </si>
  <si>
    <t>Full Name</t>
  </si>
  <si>
    <t>Job Position</t>
  </si>
  <si>
    <t>Application Date &amp; Time</t>
  </si>
  <si>
    <t>Email</t>
  </si>
  <si>
    <t>Street</t>
  </si>
  <si>
    <t>City State Zip</t>
  </si>
  <si>
    <t>Skills List</t>
  </si>
  <si>
    <t>AID0123548</t>
  </si>
  <si>
    <t>Pam Beesly</t>
  </si>
  <si>
    <t>Data Analyst</t>
  </si>
  <si>
    <t>pam.beesly@outlook.com</t>
  </si>
  <si>
    <t>457 Oak St</t>
  </si>
  <si>
    <t>San Jose, CA, 95101</t>
  </si>
  <si>
    <t>Kafka, DataBricks, Spark, Python, GCP</t>
  </si>
  <si>
    <t>AID0123549</t>
  </si>
  <si>
    <t>Michael Scott</t>
  </si>
  <si>
    <t>Business Intelligence Analyst</t>
  </si>
  <si>
    <t>michael.scott@gmail.com</t>
  </si>
  <si>
    <t>203 Birch St</t>
  </si>
  <si>
    <t>Chicago, IL, 60601</t>
  </si>
  <si>
    <t>Power BI, GCP, Airflow, Hadoop, R</t>
  </si>
  <si>
    <t>AID0123550</t>
  </si>
  <si>
    <t>Kevin Malone</t>
  </si>
  <si>
    <t>Data Engineer</t>
  </si>
  <si>
    <t>kevin.malone@aol.com</t>
  </si>
  <si>
    <t>790 Pine St</t>
  </si>
  <si>
    <t>Azure, Java, SQL, DataBricks</t>
  </si>
  <si>
    <t>AID0123551</t>
  </si>
  <si>
    <t>AID0123552</t>
  </si>
  <si>
    <t>Jim Halpert</t>
  </si>
  <si>
    <t>Data Scientist</t>
  </si>
  <si>
    <t>jim.halpert@hotmail.com</t>
  </si>
  <si>
    <t>459 Oak St</t>
  </si>
  <si>
    <t>Philadelphia, PA, 19101</t>
  </si>
  <si>
    <t>DataBricks, Hadoop, Java</t>
  </si>
  <si>
    <t>AID0123553</t>
  </si>
  <si>
    <t>Ryan Howard</t>
  </si>
  <si>
    <t>Machine Learning Engineer</t>
  </si>
  <si>
    <t>ryan.howard@aol.com</t>
  </si>
  <si>
    <t>204 Birch St</t>
  </si>
  <si>
    <t>Snowflake, Airflow, DataBricks</t>
  </si>
  <si>
    <t>AID0123554</t>
  </si>
  <si>
    <t>AID0123555</t>
  </si>
  <si>
    <t>AID0123556</t>
  </si>
  <si>
    <t>Stanley Hudson</t>
  </si>
  <si>
    <t>stanley.hudson@gmail.com</t>
  </si>
  <si>
    <t>123 Elm St</t>
  </si>
  <si>
    <t>Scala, Azure, R, Kafka</t>
  </si>
  <si>
    <t>AID0123557</t>
  </si>
  <si>
    <t>Angela Martin</t>
  </si>
  <si>
    <t>angela.martin@ymail.com</t>
  </si>
  <si>
    <t>Los Angeles, CA, 90001</t>
  </si>
  <si>
    <t>Snowflake, Excel, Scala</t>
  </si>
  <si>
    <t>AID0123558</t>
  </si>
  <si>
    <t>Dwight Schrute</t>
  </si>
  <si>
    <t>dwight.schrute@gmail.com</t>
  </si>
  <si>
    <t>San Diego, CA, 92101</t>
  </si>
  <si>
    <t>Excel, Power BI, R</t>
  </si>
  <si>
    <t>AID0123559</t>
  </si>
  <si>
    <t>Oscar Martinez</t>
  </si>
  <si>
    <t>oscar.martinez@outlook.com</t>
  </si>
  <si>
    <t>202 Birch St</t>
  </si>
  <si>
    <t>Scala, R, Hadoop, Power BI, SQL</t>
  </si>
  <si>
    <t>AID0123560</t>
  </si>
  <si>
    <t>AID0123561</t>
  </si>
  <si>
    <t>Phyllis Vance</t>
  </si>
  <si>
    <t>phyllis.vance@gmail.com</t>
  </si>
  <si>
    <t>Java, Scala, R</t>
  </si>
  <si>
    <t>AID0123562</t>
  </si>
  <si>
    <t>Meredith Palmer</t>
  </si>
  <si>
    <t>meredith.palmer@outlook.com</t>
  </si>
  <si>
    <t>456 Oak St</t>
  </si>
  <si>
    <t>DataBricks, Azure, Scala</t>
  </si>
  <si>
    <t>AID0123563</t>
  </si>
  <si>
    <t>Chicago, IL, 60602</t>
  </si>
  <si>
    <t>AID0123564</t>
  </si>
  <si>
    <t>AID0123565</t>
  </si>
  <si>
    <t>Kelly Kapoor</t>
  </si>
  <si>
    <t>kelly.kapoor@gmail.com</t>
  </si>
  <si>
    <t>New York, NY, 10001</t>
  </si>
  <si>
    <t>Snowflake, Power BI, Tableau, Airflow, SQL</t>
  </si>
  <si>
    <t>AID0123566</t>
  </si>
  <si>
    <t>AID0123567</t>
  </si>
  <si>
    <t>Hour</t>
  </si>
  <si>
    <t>Minute</t>
  </si>
  <si>
    <t>Second</t>
  </si>
  <si>
    <t>Application Time</t>
  </si>
  <si>
    <t>Hours in a Day</t>
  </si>
  <si>
    <t>Month</t>
  </si>
  <si>
    <t>Day</t>
  </si>
  <si>
    <t>Year</t>
  </si>
  <si>
    <t>Application Date</t>
  </si>
  <si>
    <t>Today</t>
  </si>
  <si>
    <t>Days Since Applied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</si>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</sst>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Sheet1!$AC$3:$AC$26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Sheet1!$AC$2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Sheet1!$AB$3:$AB$26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C701-4184-B8E8-09DBFCF05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6072287"/>
        <c:axId val="521812175"/>
      </c:barChart>
      <c:catAx>
        <c:axId val="75607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812175"/>
        <c:crosses val="autoZero"/>
        <c:auto val="1"/>
        <c:lblAlgn val="ctr"/>
        <c:lblOffset val="100"/>
        <c:noMultiLvlLbl val="0"/>
      </c:catAx>
      <c:valAx>
        <c:axId val="5218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07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538273</xdr:colOff>
      <xdr:row>1</xdr:row>
      <xdr:rowOff>0</xdr:rowOff>
    </xdr:from>
    <xdr:to>
      <xdr:col>40</xdr:col>
      <xdr:colOff>221511</xdr:colOff>
      <xdr:row>27</xdr:row>
      <xdr:rowOff>114521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709F8-579F-97DD-7D60-536EBAFC4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DEF2-BE02-400E-978B-1545DBB74862}">
  <dimension ref="A1:AC26"/>
  <sheetViews>
    <sheetView tabSelected="1" topLeftCell="C1" zoomScale="86" workbookViewId="0">
      <selection activeCell="AF32" sqref="AF32"/>
    </sheetView>
  </sheetViews>
  <sheetFormatPr defaultRowHeight="15" x14ac:dyDescent="0.25"/>
  <cols>
    <col min="1" max="1" width="11.85546875" bestFit="1" customWidth="1"/>
    <col min="2" max="2" width="15.5703125" bestFit="1" customWidth="1"/>
    <col min="3" max="3" width="27" bestFit="1" customWidth="1"/>
    <col min="4" max="4" width="22.85546875" bestFit="1" customWidth="1"/>
    <col min="5" max="5" width="29.140625" hidden="1" customWidth="1"/>
    <col min="6" max="6" width="11" hidden="1" customWidth="1"/>
    <col min="7" max="7" width="22" hidden="1" customWidth="1"/>
    <col min="8" max="8" width="39.140625" hidden="1" customWidth="1"/>
    <col min="15" max="15" width="16" bestFit="1" customWidth="1"/>
    <col min="17" max="17" width="10.42578125" bestFit="1" customWidth="1"/>
    <col min="19" max="19" width="18.42578125" bestFit="1" customWidth="1"/>
    <col min="22" max="22" width="15.7109375" bestFit="1" customWidth="1"/>
    <col min="25" max="26" width="16.140625" style="16" bestFit="1" customWidth="1"/>
    <col min="28" max="28" width="14" bestFit="1" customWidth="1"/>
  </cols>
  <sheetData>
    <row r="1" spans="1:29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K1" s="12" t="s">
        <v>89</v>
      </c>
      <c r="L1" s="12" t="s">
        <v>90</v>
      </c>
      <c r="M1" s="12" t="s">
        <v>91</v>
      </c>
      <c r="O1" s="12" t="s">
        <v>92</v>
      </c>
      <c r="Q1" s="12" t="s">
        <v>93</v>
      </c>
      <c r="S1" s="12" t="s">
        <v>94</v>
      </c>
      <c r="U1" s="12" t="s">
        <v>84</v>
      </c>
      <c r="V1" s="12" t="s">
        <v>85</v>
      </c>
      <c r="W1" s="12" t="s">
        <v>86</v>
      </c>
      <c r="Y1" s="15" t="s">
        <v>87</v>
      </c>
      <c r="Z1" s="15" t="s">
        <v>87</v>
      </c>
      <c r="AB1" s="12" t="s">
        <v>88</v>
      </c>
      <c r="AC1" s="13"/>
    </row>
    <row r="2" spans="1:29" x14ac:dyDescent="0.25">
      <c r="A2" s="5" t="s">
        <v>8</v>
      </c>
      <c r="B2" s="6" t="s">
        <v>9</v>
      </c>
      <c r="C2" s="6" t="s">
        <v>10</v>
      </c>
      <c r="D2" s="7">
        <v>44971.640451388892</v>
      </c>
      <c r="E2" s="6" t="s">
        <v>11</v>
      </c>
      <c r="F2" s="6" t="s">
        <v>12</v>
      </c>
      <c r="G2" s="6" t="s">
        <v>13</v>
      </c>
      <c r="H2" s="8" t="s">
        <v>14</v>
      </c>
      <c r="K2">
        <f>MONTH(D2)</f>
        <v>2</v>
      </c>
      <c r="L2">
        <f>DAY(D2)</f>
        <v>14</v>
      </c>
      <c r="M2">
        <f>YEAR(D2)</f>
        <v>2023</v>
      </c>
      <c r="O2" s="14">
        <f>DATE(M2,K2,L2)</f>
        <v>44971</v>
      </c>
      <c r="Q2" s="14">
        <f ca="1">TODAY()</f>
        <v>46257</v>
      </c>
      <c r="S2">
        <f ca="1">DATEDIF(D2,$Q$2,"D")</f>
        <v>1286</v>
      </c>
      <c r="U2">
        <f>HOUR(D2)</f>
        <v>15</v>
      </c>
      <c r="V2">
        <f>MINUTE(D2)</f>
        <v>22</v>
      </c>
      <c r="W2">
        <f>SECOND(D2)</f>
        <v>15</v>
      </c>
      <c r="Y2" s="17">
        <f>TIME(U2,V2,W2)</f>
        <v>0.64045138888888886</v>
      </c>
      <c r="Z2" s="16" t="str">
        <f>TEXT(D2,"hh:mm")</f>
        <v>15:22</v>
      </c>
      <c r="AB2" t="s">
        <v>84</v>
      </c>
      <c r="AC2" t="s">
        <v>95</v>
      </c>
    </row>
    <row r="3" spans="1:29" x14ac:dyDescent="0.25">
      <c r="A3" s="5" t="s">
        <v>15</v>
      </c>
      <c r="B3" s="6" t="s">
        <v>16</v>
      </c>
      <c r="C3" s="6" t="s">
        <v>17</v>
      </c>
      <c r="D3" s="7">
        <v>45055.40662037037</v>
      </c>
      <c r="E3" s="6" t="s">
        <v>18</v>
      </c>
      <c r="F3" s="6" t="s">
        <v>19</v>
      </c>
      <c r="G3" s="6" t="s">
        <v>20</v>
      </c>
      <c r="H3" s="8" t="s">
        <v>21</v>
      </c>
      <c r="K3">
        <f t="shared" ref="K3:K21" si="0">MONTH(D3)</f>
        <v>5</v>
      </c>
      <c r="L3">
        <f t="shared" ref="L3:L21" si="1">DAY(D3)</f>
        <v>9</v>
      </c>
      <c r="M3">
        <f t="shared" ref="M3:M21" si="2">YEAR(D3)</f>
        <v>2023</v>
      </c>
      <c r="O3" s="14">
        <f t="shared" ref="O3:O21" si="3">DATE(M3,K3,L3)</f>
        <v>45055</v>
      </c>
      <c r="S3">
        <f t="shared" ref="S3:S21" ca="1" si="4">DATEDIF(D3,$Q$2,"D")</f>
        <v>1202</v>
      </c>
      <c r="U3">
        <f t="shared" ref="U3:U21" si="5">HOUR(D3)</f>
        <v>9</v>
      </c>
      <c r="V3">
        <f t="shared" ref="V3:V21" si="6">MINUTE(D3)</f>
        <v>45</v>
      </c>
      <c r="W3">
        <f t="shared" ref="W3:W21" si="7">SECOND(D3)</f>
        <v>32</v>
      </c>
      <c r="Y3" s="17">
        <f t="shared" ref="Y3:Y21" si="8">TIME(U3,V3,W3)</f>
        <v>0.40662037037037035</v>
      </c>
      <c r="Z3" s="16" t="str">
        <f t="shared" ref="Z3:Z21" si="9">TEXT(D3,"hh:mm")</f>
        <v>09:45</v>
      </c>
      <c r="AB3">
        <v>1</v>
      </c>
      <c r="AC3">
        <f>COUNTIF($U$2:$U$21,AB3)</f>
        <v>0</v>
      </c>
    </row>
    <row r="4" spans="1:29" x14ac:dyDescent="0.25">
      <c r="A4" s="5" t="s">
        <v>22</v>
      </c>
      <c r="B4" s="6" t="s">
        <v>23</v>
      </c>
      <c r="C4" s="6" t="s">
        <v>24</v>
      </c>
      <c r="D4" s="7">
        <v>45128.729710648149</v>
      </c>
      <c r="E4" s="6" t="s">
        <v>25</v>
      </c>
      <c r="F4" s="6" t="s">
        <v>26</v>
      </c>
      <c r="G4" s="6" t="s">
        <v>20</v>
      </c>
      <c r="H4" s="8" t="s">
        <v>27</v>
      </c>
      <c r="K4">
        <f t="shared" si="0"/>
        <v>7</v>
      </c>
      <c r="L4">
        <f t="shared" si="1"/>
        <v>21</v>
      </c>
      <c r="M4">
        <f t="shared" si="2"/>
        <v>2023</v>
      </c>
      <c r="O4" s="14">
        <f t="shared" si="3"/>
        <v>45128</v>
      </c>
      <c r="S4">
        <f t="shared" ca="1" si="4"/>
        <v>1129</v>
      </c>
      <c r="U4">
        <f t="shared" si="5"/>
        <v>17</v>
      </c>
      <c r="V4">
        <f t="shared" si="6"/>
        <v>30</v>
      </c>
      <c r="W4">
        <f t="shared" si="7"/>
        <v>47</v>
      </c>
      <c r="Y4" s="17">
        <f t="shared" si="8"/>
        <v>0.72971064814814812</v>
      </c>
      <c r="Z4" s="16" t="str">
        <f t="shared" si="9"/>
        <v>17:30</v>
      </c>
      <c r="AB4">
        <v>2</v>
      </c>
      <c r="AC4">
        <f t="shared" ref="AC4:AC26" si="10">COUNTIF($U$2:$U$21,AB4)</f>
        <v>0</v>
      </c>
    </row>
    <row r="5" spans="1:29" x14ac:dyDescent="0.25">
      <c r="A5" s="5" t="s">
        <v>28</v>
      </c>
      <c r="B5" s="6" t="s">
        <v>9</v>
      </c>
      <c r="C5" s="6" t="s">
        <v>17</v>
      </c>
      <c r="D5" s="7">
        <v>45173.302187499998</v>
      </c>
      <c r="E5" s="6" t="s">
        <v>11</v>
      </c>
      <c r="F5" s="6" t="s">
        <v>12</v>
      </c>
      <c r="G5" s="6" t="s">
        <v>13</v>
      </c>
      <c r="H5" s="8" t="s">
        <v>14</v>
      </c>
      <c r="K5">
        <f t="shared" si="0"/>
        <v>9</v>
      </c>
      <c r="L5">
        <f t="shared" si="1"/>
        <v>4</v>
      </c>
      <c r="M5">
        <f t="shared" si="2"/>
        <v>2023</v>
      </c>
      <c r="O5" s="14">
        <f t="shared" si="3"/>
        <v>45173</v>
      </c>
      <c r="S5">
        <f t="shared" ca="1" si="4"/>
        <v>1084</v>
      </c>
      <c r="U5">
        <f t="shared" si="5"/>
        <v>7</v>
      </c>
      <c r="V5">
        <f t="shared" si="6"/>
        <v>15</v>
      </c>
      <c r="W5">
        <f t="shared" si="7"/>
        <v>9</v>
      </c>
      <c r="Y5" s="17">
        <f t="shared" si="8"/>
        <v>0.3021875</v>
      </c>
      <c r="Z5" s="16" t="str">
        <f t="shared" si="9"/>
        <v>07:15</v>
      </c>
      <c r="AB5">
        <v>3</v>
      </c>
      <c r="AC5">
        <f t="shared" si="10"/>
        <v>0</v>
      </c>
    </row>
    <row r="6" spans="1:29" x14ac:dyDescent="0.25">
      <c r="A6" s="5" t="s">
        <v>29</v>
      </c>
      <c r="B6" s="6" t="s">
        <v>30</v>
      </c>
      <c r="C6" s="6" t="s">
        <v>31</v>
      </c>
      <c r="D6" s="7">
        <v>45248.70857638889</v>
      </c>
      <c r="E6" s="6" t="s">
        <v>32</v>
      </c>
      <c r="F6" s="6" t="s">
        <v>33</v>
      </c>
      <c r="G6" s="6" t="s">
        <v>34</v>
      </c>
      <c r="H6" s="8" t="s">
        <v>35</v>
      </c>
      <c r="K6">
        <f t="shared" si="0"/>
        <v>11</v>
      </c>
      <c r="L6">
        <f t="shared" si="1"/>
        <v>18</v>
      </c>
      <c r="M6">
        <f t="shared" si="2"/>
        <v>2023</v>
      </c>
      <c r="O6" s="14">
        <f t="shared" si="3"/>
        <v>45248</v>
      </c>
      <c r="S6">
        <f t="shared" ca="1" si="4"/>
        <v>1009</v>
      </c>
      <c r="U6">
        <f t="shared" si="5"/>
        <v>17</v>
      </c>
      <c r="V6">
        <f t="shared" si="6"/>
        <v>0</v>
      </c>
      <c r="W6">
        <f t="shared" si="7"/>
        <v>21</v>
      </c>
      <c r="Y6" s="17">
        <f t="shared" si="8"/>
        <v>0.70857638888888885</v>
      </c>
      <c r="Z6" s="16" t="str">
        <f t="shared" si="9"/>
        <v>17:00</v>
      </c>
      <c r="AB6">
        <v>4</v>
      </c>
      <c r="AC6">
        <f t="shared" si="10"/>
        <v>0</v>
      </c>
    </row>
    <row r="7" spans="1:29" x14ac:dyDescent="0.25">
      <c r="A7" s="5" t="s">
        <v>36</v>
      </c>
      <c r="B7" s="6" t="s">
        <v>37</v>
      </c>
      <c r="C7" s="6" t="s">
        <v>38</v>
      </c>
      <c r="D7" s="7">
        <v>45302.531921296293</v>
      </c>
      <c r="E7" s="6" t="s">
        <v>39</v>
      </c>
      <c r="F7" s="6" t="s">
        <v>40</v>
      </c>
      <c r="G7" s="6" t="s">
        <v>34</v>
      </c>
      <c r="H7" s="8" t="s">
        <v>41</v>
      </c>
      <c r="K7">
        <f t="shared" si="0"/>
        <v>1</v>
      </c>
      <c r="L7">
        <f t="shared" si="1"/>
        <v>11</v>
      </c>
      <c r="M7">
        <f t="shared" si="2"/>
        <v>2024</v>
      </c>
      <c r="O7" s="14">
        <f t="shared" si="3"/>
        <v>45302</v>
      </c>
      <c r="S7">
        <f t="shared" ca="1" si="4"/>
        <v>955</v>
      </c>
      <c r="U7">
        <f t="shared" si="5"/>
        <v>12</v>
      </c>
      <c r="V7">
        <f t="shared" si="6"/>
        <v>45</v>
      </c>
      <c r="W7">
        <f t="shared" si="7"/>
        <v>58</v>
      </c>
      <c r="Y7" s="17">
        <f t="shared" si="8"/>
        <v>0.53192129629629625</v>
      </c>
      <c r="Z7" s="16" t="str">
        <f t="shared" si="9"/>
        <v>12:45</v>
      </c>
      <c r="AB7">
        <v>5</v>
      </c>
      <c r="AC7">
        <f t="shared" si="10"/>
        <v>0</v>
      </c>
    </row>
    <row r="8" spans="1:29" x14ac:dyDescent="0.25">
      <c r="A8" s="5" t="s">
        <v>42</v>
      </c>
      <c r="B8" s="6" t="s">
        <v>23</v>
      </c>
      <c r="C8" s="6" t="s">
        <v>17</v>
      </c>
      <c r="D8" s="7">
        <v>45354.687881944446</v>
      </c>
      <c r="E8" s="6" t="s">
        <v>25</v>
      </c>
      <c r="F8" s="6" t="s">
        <v>26</v>
      </c>
      <c r="G8" s="6" t="s">
        <v>20</v>
      </c>
      <c r="H8" s="8" t="s">
        <v>27</v>
      </c>
      <c r="K8">
        <f t="shared" si="0"/>
        <v>3</v>
      </c>
      <c r="L8">
        <f t="shared" si="1"/>
        <v>3</v>
      </c>
      <c r="M8">
        <f t="shared" si="2"/>
        <v>2024</v>
      </c>
      <c r="O8" s="14">
        <f t="shared" si="3"/>
        <v>45354</v>
      </c>
      <c r="S8">
        <f t="shared" ca="1" si="4"/>
        <v>903</v>
      </c>
      <c r="U8">
        <f t="shared" si="5"/>
        <v>16</v>
      </c>
      <c r="V8">
        <f t="shared" si="6"/>
        <v>30</v>
      </c>
      <c r="W8">
        <f t="shared" si="7"/>
        <v>33</v>
      </c>
      <c r="Y8" s="17">
        <f t="shared" si="8"/>
        <v>0.68788194444444439</v>
      </c>
      <c r="Z8" s="16" t="str">
        <f t="shared" si="9"/>
        <v>16:30</v>
      </c>
      <c r="AB8">
        <v>6</v>
      </c>
      <c r="AC8">
        <f t="shared" si="10"/>
        <v>1</v>
      </c>
    </row>
    <row r="9" spans="1:29" x14ac:dyDescent="0.25">
      <c r="A9" s="5" t="s">
        <v>43</v>
      </c>
      <c r="B9" s="6" t="s">
        <v>37</v>
      </c>
      <c r="C9" s="6" t="s">
        <v>10</v>
      </c>
      <c r="D9" s="7">
        <v>45408.340810185182</v>
      </c>
      <c r="E9" s="6" t="s">
        <v>39</v>
      </c>
      <c r="F9" s="6" t="s">
        <v>40</v>
      </c>
      <c r="G9" s="6" t="s">
        <v>34</v>
      </c>
      <c r="H9" s="8" t="s">
        <v>41</v>
      </c>
      <c r="K9">
        <f t="shared" si="0"/>
        <v>4</v>
      </c>
      <c r="L9">
        <f t="shared" si="1"/>
        <v>26</v>
      </c>
      <c r="M9">
        <f t="shared" si="2"/>
        <v>2024</v>
      </c>
      <c r="O9" s="14">
        <f t="shared" si="3"/>
        <v>45408</v>
      </c>
      <c r="S9">
        <f t="shared" ca="1" si="4"/>
        <v>849</v>
      </c>
      <c r="U9">
        <f t="shared" si="5"/>
        <v>8</v>
      </c>
      <c r="V9">
        <f t="shared" si="6"/>
        <v>10</v>
      </c>
      <c r="W9">
        <f t="shared" si="7"/>
        <v>46</v>
      </c>
      <c r="Y9" s="17">
        <f t="shared" si="8"/>
        <v>0.34081018518518519</v>
      </c>
      <c r="Z9" s="16" t="str">
        <f t="shared" si="9"/>
        <v>08:10</v>
      </c>
      <c r="AB9">
        <v>7</v>
      </c>
      <c r="AC9">
        <f t="shared" si="10"/>
        <v>3</v>
      </c>
    </row>
    <row r="10" spans="1:29" x14ac:dyDescent="0.25">
      <c r="A10" s="5" t="s">
        <v>44</v>
      </c>
      <c r="B10" s="6" t="s">
        <v>45</v>
      </c>
      <c r="C10" s="6" t="s">
        <v>31</v>
      </c>
      <c r="D10" s="7">
        <v>45458.743333333332</v>
      </c>
      <c r="E10" s="6" t="s">
        <v>46</v>
      </c>
      <c r="F10" s="6" t="s">
        <v>47</v>
      </c>
      <c r="G10" s="6" t="s">
        <v>20</v>
      </c>
      <c r="H10" s="8" t="s">
        <v>48</v>
      </c>
      <c r="K10">
        <f t="shared" si="0"/>
        <v>6</v>
      </c>
      <c r="L10">
        <f t="shared" si="1"/>
        <v>15</v>
      </c>
      <c r="M10">
        <f t="shared" si="2"/>
        <v>2024</v>
      </c>
      <c r="O10" s="14">
        <f t="shared" si="3"/>
        <v>45458</v>
      </c>
      <c r="S10">
        <f t="shared" ca="1" si="4"/>
        <v>799</v>
      </c>
      <c r="U10">
        <f t="shared" si="5"/>
        <v>17</v>
      </c>
      <c r="V10">
        <f t="shared" si="6"/>
        <v>50</v>
      </c>
      <c r="W10">
        <f t="shared" si="7"/>
        <v>24</v>
      </c>
      <c r="Y10" s="17">
        <f t="shared" si="8"/>
        <v>0.74333333333333329</v>
      </c>
      <c r="Z10" s="16" t="str">
        <f t="shared" si="9"/>
        <v>17:50</v>
      </c>
      <c r="AB10">
        <v>8</v>
      </c>
      <c r="AC10">
        <f t="shared" si="10"/>
        <v>1</v>
      </c>
    </row>
    <row r="11" spans="1:29" x14ac:dyDescent="0.25">
      <c r="A11" s="5" t="s">
        <v>49</v>
      </c>
      <c r="B11" s="6" t="s">
        <v>50</v>
      </c>
      <c r="C11" s="6" t="s">
        <v>24</v>
      </c>
      <c r="D11" s="7">
        <v>45480.608055555553</v>
      </c>
      <c r="E11" s="6" t="s">
        <v>51</v>
      </c>
      <c r="F11" s="6" t="s">
        <v>47</v>
      </c>
      <c r="G11" s="6" t="s">
        <v>52</v>
      </c>
      <c r="H11" s="8" t="s">
        <v>53</v>
      </c>
      <c r="K11">
        <f t="shared" si="0"/>
        <v>7</v>
      </c>
      <c r="L11">
        <f t="shared" si="1"/>
        <v>7</v>
      </c>
      <c r="M11">
        <f t="shared" si="2"/>
        <v>2024</v>
      </c>
      <c r="O11" s="14">
        <f t="shared" si="3"/>
        <v>45480</v>
      </c>
      <c r="S11">
        <f t="shared" ca="1" si="4"/>
        <v>777</v>
      </c>
      <c r="U11">
        <f t="shared" si="5"/>
        <v>14</v>
      </c>
      <c r="V11">
        <f t="shared" si="6"/>
        <v>35</v>
      </c>
      <c r="W11">
        <f t="shared" si="7"/>
        <v>36</v>
      </c>
      <c r="Y11" s="17">
        <f t="shared" si="8"/>
        <v>0.60805555555555557</v>
      </c>
      <c r="Z11" s="16" t="str">
        <f t="shared" si="9"/>
        <v>14:35</v>
      </c>
      <c r="AB11">
        <v>9</v>
      </c>
      <c r="AC11">
        <f t="shared" si="10"/>
        <v>1</v>
      </c>
    </row>
    <row r="12" spans="1:29" x14ac:dyDescent="0.25">
      <c r="A12" s="5" t="s">
        <v>54</v>
      </c>
      <c r="B12" s="6" t="s">
        <v>55</v>
      </c>
      <c r="C12" s="6" t="s">
        <v>31</v>
      </c>
      <c r="D12" s="7">
        <v>45455.284930555557</v>
      </c>
      <c r="E12" s="6" t="s">
        <v>56</v>
      </c>
      <c r="F12" s="6" t="s">
        <v>47</v>
      </c>
      <c r="G12" s="6" t="s">
        <v>57</v>
      </c>
      <c r="H12" s="8" t="s">
        <v>58</v>
      </c>
      <c r="K12">
        <f t="shared" si="0"/>
        <v>6</v>
      </c>
      <c r="L12">
        <f t="shared" si="1"/>
        <v>12</v>
      </c>
      <c r="M12">
        <f t="shared" si="2"/>
        <v>2024</v>
      </c>
      <c r="O12" s="14">
        <f t="shared" si="3"/>
        <v>45455</v>
      </c>
      <c r="S12">
        <f t="shared" ca="1" si="4"/>
        <v>802</v>
      </c>
      <c r="U12">
        <f t="shared" si="5"/>
        <v>6</v>
      </c>
      <c r="V12">
        <f t="shared" si="6"/>
        <v>50</v>
      </c>
      <c r="W12">
        <f t="shared" si="7"/>
        <v>18</v>
      </c>
      <c r="Y12" s="17">
        <f t="shared" si="8"/>
        <v>0.28493055555555558</v>
      </c>
      <c r="Z12" s="16" t="str">
        <f t="shared" si="9"/>
        <v>06:50</v>
      </c>
      <c r="AB12">
        <v>10</v>
      </c>
      <c r="AC12">
        <f t="shared" si="10"/>
        <v>1</v>
      </c>
    </row>
    <row r="13" spans="1:29" x14ac:dyDescent="0.25">
      <c r="A13" s="5" t="s">
        <v>59</v>
      </c>
      <c r="B13" s="6" t="s">
        <v>60</v>
      </c>
      <c r="C13" s="6" t="s">
        <v>38</v>
      </c>
      <c r="D13" s="7">
        <v>44951.552141203705</v>
      </c>
      <c r="E13" s="6" t="s">
        <v>61</v>
      </c>
      <c r="F13" s="6" t="s">
        <v>62</v>
      </c>
      <c r="G13" s="6" t="s">
        <v>20</v>
      </c>
      <c r="H13" s="8" t="s">
        <v>63</v>
      </c>
      <c r="K13">
        <f t="shared" si="0"/>
        <v>1</v>
      </c>
      <c r="L13">
        <f t="shared" si="1"/>
        <v>25</v>
      </c>
      <c r="M13">
        <f t="shared" si="2"/>
        <v>2023</v>
      </c>
      <c r="O13" s="14">
        <f t="shared" si="3"/>
        <v>44951</v>
      </c>
      <c r="S13">
        <f t="shared" ca="1" si="4"/>
        <v>1306</v>
      </c>
      <c r="U13">
        <f t="shared" si="5"/>
        <v>13</v>
      </c>
      <c r="V13">
        <f t="shared" si="6"/>
        <v>15</v>
      </c>
      <c r="W13">
        <f t="shared" si="7"/>
        <v>5</v>
      </c>
      <c r="Y13" s="17">
        <f t="shared" si="8"/>
        <v>0.55214120370370368</v>
      </c>
      <c r="Z13" s="16" t="str">
        <f t="shared" si="9"/>
        <v>13:15</v>
      </c>
      <c r="AB13">
        <v>11</v>
      </c>
      <c r="AC13">
        <f t="shared" si="10"/>
        <v>1</v>
      </c>
    </row>
    <row r="14" spans="1:29" x14ac:dyDescent="0.25">
      <c r="A14" s="5" t="s">
        <v>64</v>
      </c>
      <c r="B14" s="6" t="s">
        <v>37</v>
      </c>
      <c r="C14" s="6" t="s">
        <v>24</v>
      </c>
      <c r="D14" s="7">
        <v>45002.490034722221</v>
      </c>
      <c r="E14" s="6" t="s">
        <v>39</v>
      </c>
      <c r="F14" s="6" t="s">
        <v>40</v>
      </c>
      <c r="G14" s="6" t="s">
        <v>34</v>
      </c>
      <c r="H14" s="8" t="s">
        <v>41</v>
      </c>
      <c r="K14">
        <f t="shared" si="0"/>
        <v>3</v>
      </c>
      <c r="L14">
        <f t="shared" si="1"/>
        <v>17</v>
      </c>
      <c r="M14">
        <f t="shared" si="2"/>
        <v>2023</v>
      </c>
      <c r="O14" s="14">
        <f t="shared" si="3"/>
        <v>45002</v>
      </c>
      <c r="S14">
        <f t="shared" ca="1" si="4"/>
        <v>1255</v>
      </c>
      <c r="U14">
        <f t="shared" si="5"/>
        <v>11</v>
      </c>
      <c r="V14">
        <f t="shared" si="6"/>
        <v>45</v>
      </c>
      <c r="W14">
        <f t="shared" si="7"/>
        <v>39</v>
      </c>
      <c r="Y14" s="17">
        <f t="shared" si="8"/>
        <v>0.49003472222222222</v>
      </c>
      <c r="Z14" s="16" t="str">
        <f t="shared" si="9"/>
        <v>11:45</v>
      </c>
      <c r="AB14">
        <v>12</v>
      </c>
      <c r="AC14">
        <f t="shared" si="10"/>
        <v>1</v>
      </c>
    </row>
    <row r="15" spans="1:29" x14ac:dyDescent="0.25">
      <c r="A15" s="5" t="s">
        <v>65</v>
      </c>
      <c r="B15" s="6" t="s">
        <v>66</v>
      </c>
      <c r="C15" s="6" t="s">
        <v>38</v>
      </c>
      <c r="D15" s="7">
        <v>45078.417256944442</v>
      </c>
      <c r="E15" s="6" t="s">
        <v>67</v>
      </c>
      <c r="F15" s="6" t="s">
        <v>47</v>
      </c>
      <c r="G15" s="6" t="s">
        <v>20</v>
      </c>
      <c r="H15" s="8" t="s">
        <v>68</v>
      </c>
      <c r="K15">
        <f t="shared" si="0"/>
        <v>6</v>
      </c>
      <c r="L15">
        <f t="shared" si="1"/>
        <v>1</v>
      </c>
      <c r="M15">
        <f t="shared" si="2"/>
        <v>2023</v>
      </c>
      <c r="O15" s="14">
        <f t="shared" si="3"/>
        <v>45078</v>
      </c>
      <c r="S15">
        <f t="shared" ca="1" si="4"/>
        <v>1179</v>
      </c>
      <c r="U15">
        <f t="shared" si="5"/>
        <v>10</v>
      </c>
      <c r="V15">
        <f t="shared" si="6"/>
        <v>0</v>
      </c>
      <c r="W15">
        <f t="shared" si="7"/>
        <v>51</v>
      </c>
      <c r="Y15" s="17">
        <f t="shared" si="8"/>
        <v>0.41725694444444444</v>
      </c>
      <c r="Z15" s="16" t="str">
        <f t="shared" si="9"/>
        <v>10:00</v>
      </c>
      <c r="AB15">
        <v>13</v>
      </c>
      <c r="AC15">
        <f t="shared" si="10"/>
        <v>1</v>
      </c>
    </row>
    <row r="16" spans="1:29" x14ac:dyDescent="0.25">
      <c r="A16" s="5" t="s">
        <v>69</v>
      </c>
      <c r="B16" s="6" t="s">
        <v>70</v>
      </c>
      <c r="C16" s="6" t="s">
        <v>38</v>
      </c>
      <c r="D16" s="7">
        <v>45168.729328703703</v>
      </c>
      <c r="E16" s="6" t="s">
        <v>71</v>
      </c>
      <c r="F16" s="6" t="s">
        <v>72</v>
      </c>
      <c r="G16" s="6" t="s">
        <v>20</v>
      </c>
      <c r="H16" s="8" t="s">
        <v>73</v>
      </c>
      <c r="K16">
        <f t="shared" si="0"/>
        <v>8</v>
      </c>
      <c r="L16">
        <f t="shared" si="1"/>
        <v>30</v>
      </c>
      <c r="M16">
        <f t="shared" si="2"/>
        <v>2023</v>
      </c>
      <c r="O16" s="14">
        <f t="shared" si="3"/>
        <v>45168</v>
      </c>
      <c r="S16">
        <f t="shared" ca="1" si="4"/>
        <v>1089</v>
      </c>
      <c r="U16">
        <f t="shared" si="5"/>
        <v>17</v>
      </c>
      <c r="V16">
        <f t="shared" si="6"/>
        <v>30</v>
      </c>
      <c r="W16">
        <f t="shared" si="7"/>
        <v>14</v>
      </c>
      <c r="Y16" s="17">
        <f t="shared" si="8"/>
        <v>0.72932870370370373</v>
      </c>
      <c r="Z16" s="16" t="str">
        <f t="shared" si="9"/>
        <v>17:30</v>
      </c>
      <c r="AB16">
        <v>14</v>
      </c>
      <c r="AC16">
        <f t="shared" si="10"/>
        <v>1</v>
      </c>
    </row>
    <row r="17" spans="1:29" x14ac:dyDescent="0.25">
      <c r="A17" s="5" t="s">
        <v>74</v>
      </c>
      <c r="B17" s="6" t="s">
        <v>16</v>
      </c>
      <c r="C17" s="6" t="s">
        <v>31</v>
      </c>
      <c r="D17" s="7">
        <v>45218.319780092592</v>
      </c>
      <c r="E17" s="6" t="s">
        <v>18</v>
      </c>
      <c r="F17" s="6" t="s">
        <v>19</v>
      </c>
      <c r="G17" s="6" t="s">
        <v>75</v>
      </c>
      <c r="H17" s="8" t="s">
        <v>21</v>
      </c>
      <c r="K17">
        <f t="shared" si="0"/>
        <v>10</v>
      </c>
      <c r="L17">
        <f t="shared" si="1"/>
        <v>19</v>
      </c>
      <c r="M17">
        <f t="shared" si="2"/>
        <v>2023</v>
      </c>
      <c r="O17" s="14">
        <f t="shared" si="3"/>
        <v>45218</v>
      </c>
      <c r="S17">
        <f t="shared" ca="1" si="4"/>
        <v>1039</v>
      </c>
      <c r="U17">
        <f t="shared" si="5"/>
        <v>7</v>
      </c>
      <c r="V17">
        <f t="shared" si="6"/>
        <v>40</v>
      </c>
      <c r="W17">
        <f t="shared" si="7"/>
        <v>29</v>
      </c>
      <c r="Y17" s="17">
        <f t="shared" si="8"/>
        <v>0.3197800925925926</v>
      </c>
      <c r="Z17" s="16" t="str">
        <f t="shared" si="9"/>
        <v>07:40</v>
      </c>
      <c r="AB17">
        <v>15</v>
      </c>
      <c r="AC17">
        <f t="shared" si="10"/>
        <v>1</v>
      </c>
    </row>
    <row r="18" spans="1:29" x14ac:dyDescent="0.25">
      <c r="A18" s="5" t="s">
        <v>76</v>
      </c>
      <c r="B18" s="6" t="s">
        <v>30</v>
      </c>
      <c r="C18" s="6" t="s">
        <v>24</v>
      </c>
      <c r="D18" s="7">
        <v>45350.719236111108</v>
      </c>
      <c r="E18" s="6" t="s">
        <v>32</v>
      </c>
      <c r="F18" s="6" t="s">
        <v>33</v>
      </c>
      <c r="G18" s="6" t="s">
        <v>34</v>
      </c>
      <c r="H18" s="8" t="s">
        <v>35</v>
      </c>
      <c r="K18">
        <f t="shared" si="0"/>
        <v>2</v>
      </c>
      <c r="L18">
        <f t="shared" si="1"/>
        <v>28</v>
      </c>
      <c r="M18">
        <f t="shared" si="2"/>
        <v>2024</v>
      </c>
      <c r="O18" s="14">
        <f t="shared" si="3"/>
        <v>45350</v>
      </c>
      <c r="S18">
        <f t="shared" ca="1" si="4"/>
        <v>907</v>
      </c>
      <c r="U18">
        <f t="shared" si="5"/>
        <v>17</v>
      </c>
      <c r="V18">
        <f t="shared" si="6"/>
        <v>15</v>
      </c>
      <c r="W18">
        <f t="shared" si="7"/>
        <v>42</v>
      </c>
      <c r="Y18" s="17">
        <f t="shared" si="8"/>
        <v>0.71923611111111108</v>
      </c>
      <c r="Z18" s="16" t="str">
        <f t="shared" si="9"/>
        <v>17:15</v>
      </c>
      <c r="AB18">
        <v>16</v>
      </c>
      <c r="AC18">
        <f t="shared" si="10"/>
        <v>1</v>
      </c>
    </row>
    <row r="19" spans="1:29" x14ac:dyDescent="0.25">
      <c r="A19" s="5" t="s">
        <v>77</v>
      </c>
      <c r="B19" s="6" t="s">
        <v>78</v>
      </c>
      <c r="C19" s="6" t="s">
        <v>31</v>
      </c>
      <c r="D19" s="7">
        <v>45418.726354166669</v>
      </c>
      <c r="E19" s="6" t="s">
        <v>79</v>
      </c>
      <c r="F19" s="6" t="s">
        <v>72</v>
      </c>
      <c r="G19" s="6" t="s">
        <v>80</v>
      </c>
      <c r="H19" s="8" t="s">
        <v>81</v>
      </c>
      <c r="K19">
        <f t="shared" si="0"/>
        <v>5</v>
      </c>
      <c r="L19">
        <f t="shared" si="1"/>
        <v>6</v>
      </c>
      <c r="M19">
        <f t="shared" si="2"/>
        <v>2024</v>
      </c>
      <c r="O19" s="14">
        <f t="shared" si="3"/>
        <v>45418</v>
      </c>
      <c r="S19">
        <f t="shared" ca="1" si="4"/>
        <v>839</v>
      </c>
      <c r="U19">
        <f t="shared" si="5"/>
        <v>17</v>
      </c>
      <c r="V19">
        <f t="shared" si="6"/>
        <v>25</v>
      </c>
      <c r="W19">
        <f t="shared" si="7"/>
        <v>57</v>
      </c>
      <c r="Y19" s="17">
        <f t="shared" si="8"/>
        <v>0.72635416666666663</v>
      </c>
      <c r="Z19" s="16" t="str">
        <f t="shared" si="9"/>
        <v>17:25</v>
      </c>
      <c r="AB19">
        <v>17</v>
      </c>
      <c r="AC19">
        <f t="shared" si="10"/>
        <v>7</v>
      </c>
    </row>
    <row r="20" spans="1:29" x14ac:dyDescent="0.25">
      <c r="A20" s="5" t="s">
        <v>82</v>
      </c>
      <c r="B20" s="6" t="s">
        <v>30</v>
      </c>
      <c r="C20" s="6" t="s">
        <v>38</v>
      </c>
      <c r="D20" s="7">
        <v>45496.291701388887</v>
      </c>
      <c r="E20" s="6" t="s">
        <v>32</v>
      </c>
      <c r="F20" s="6" t="s">
        <v>33</v>
      </c>
      <c r="G20" s="6" t="s">
        <v>34</v>
      </c>
      <c r="H20" s="8" t="s">
        <v>35</v>
      </c>
      <c r="K20">
        <f t="shared" si="0"/>
        <v>7</v>
      </c>
      <c r="L20">
        <f t="shared" si="1"/>
        <v>23</v>
      </c>
      <c r="M20">
        <f t="shared" si="2"/>
        <v>2024</v>
      </c>
      <c r="O20" s="14">
        <f t="shared" si="3"/>
        <v>45496</v>
      </c>
      <c r="S20">
        <f t="shared" ca="1" si="4"/>
        <v>761</v>
      </c>
      <c r="U20">
        <f t="shared" si="5"/>
        <v>7</v>
      </c>
      <c r="V20">
        <f t="shared" si="6"/>
        <v>0</v>
      </c>
      <c r="W20">
        <f t="shared" si="7"/>
        <v>3</v>
      </c>
      <c r="Y20" s="17">
        <f t="shared" si="8"/>
        <v>0.29170138888888891</v>
      </c>
      <c r="Z20" s="16" t="str">
        <f t="shared" si="9"/>
        <v>07:00</v>
      </c>
      <c r="AB20">
        <v>18</v>
      </c>
      <c r="AC20">
        <f t="shared" si="10"/>
        <v>0</v>
      </c>
    </row>
    <row r="21" spans="1:29" ht="15.75" thickBot="1" x14ac:dyDescent="0.3">
      <c r="A21" s="5" t="s">
        <v>83</v>
      </c>
      <c r="B21" s="9" t="s">
        <v>30</v>
      </c>
      <c r="C21" s="9" t="s">
        <v>38</v>
      </c>
      <c r="D21" s="10">
        <v>45422.739884259259</v>
      </c>
      <c r="E21" s="9" t="s">
        <v>32</v>
      </c>
      <c r="F21" s="9" t="s">
        <v>33</v>
      </c>
      <c r="G21" s="9" t="s">
        <v>80</v>
      </c>
      <c r="H21" s="11" t="s">
        <v>35</v>
      </c>
      <c r="K21">
        <f t="shared" si="0"/>
        <v>5</v>
      </c>
      <c r="L21">
        <f t="shared" si="1"/>
        <v>10</v>
      </c>
      <c r="M21">
        <f t="shared" si="2"/>
        <v>2024</v>
      </c>
      <c r="O21" s="14">
        <f t="shared" si="3"/>
        <v>45422</v>
      </c>
      <c r="S21">
        <f t="shared" ca="1" si="4"/>
        <v>835</v>
      </c>
      <c r="U21">
        <f t="shared" si="5"/>
        <v>17</v>
      </c>
      <c r="V21">
        <f t="shared" si="6"/>
        <v>45</v>
      </c>
      <c r="W21">
        <f t="shared" si="7"/>
        <v>26</v>
      </c>
      <c r="Y21" s="17">
        <f t="shared" si="8"/>
        <v>0.73988425925925927</v>
      </c>
      <c r="Z21" s="16" t="str">
        <f t="shared" si="9"/>
        <v>17:45</v>
      </c>
      <c r="AB21">
        <v>19</v>
      </c>
      <c r="AC21">
        <f t="shared" si="10"/>
        <v>0</v>
      </c>
    </row>
    <row r="22" spans="1:29" x14ac:dyDescent="0.25">
      <c r="AB22">
        <v>20</v>
      </c>
      <c r="AC22">
        <f t="shared" si="10"/>
        <v>0</v>
      </c>
    </row>
    <row r="23" spans="1:29" x14ac:dyDescent="0.25">
      <c r="AB23">
        <v>21</v>
      </c>
      <c r="AC23">
        <f t="shared" si="10"/>
        <v>0</v>
      </c>
    </row>
    <row r="24" spans="1:29" x14ac:dyDescent="0.25">
      <c r="AB24">
        <v>22</v>
      </c>
      <c r="AC24">
        <f t="shared" si="10"/>
        <v>0</v>
      </c>
    </row>
    <row r="25" spans="1:29" x14ac:dyDescent="0.25">
      <c r="AB25">
        <v>23</v>
      </c>
      <c r="AC25">
        <f t="shared" si="10"/>
        <v>0</v>
      </c>
    </row>
    <row r="26" spans="1:29" x14ac:dyDescent="0.25">
      <c r="AB26">
        <v>24</v>
      </c>
      <c r="AC26">
        <f t="shared" si="10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mdwashiful@outlook.com</dc:creator>
  <cp:lastModifiedBy>mdwashiful@outlook.com</cp:lastModifiedBy>
  <dcterms:created xsi:type="dcterms:W3CDTF">2026-08-23T17:55:29Z</dcterms:created>
  <dcterms:modified xsi:type="dcterms:W3CDTF">2026-08-23T18:19:27Z</dcterms:modified>
</cp:coreProperties>
</file>